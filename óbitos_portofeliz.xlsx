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Folha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<sst xmlns="http://schemas.openxmlformats.org/spreadsheetml/2006/main" count="58" uniqueCount="58">
  <si>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 xml:space="preserve">ÓBITOS RESIDENTES EM PORTO FELIZ   -  2006  a  2025</t>
  </si>
  <si>
    <t>Sexo</t>
  </si>
  <si>
    <t>Total</t>
  </si>
  <si>
    <t>Masculino</t>
  </si>
  <si>
    <t>Feminino</t>
  </si>
  <si>
    <t>Ignorado</t>
  </si>
  <si>
    <t xml:space="preserve">Total ano a ano  =&gt;</t>
  </si>
  <si>
    <t xml:space="preserve">Local de Ocorrência</t>
  </si>
  <si>
    <t>Hospital</t>
  </si>
  <si>
    <t xml:space="preserve">Outros estabelec. de saúde</t>
  </si>
  <si>
    <t>Domicílio</t>
  </si>
  <si>
    <t xml:space="preserve">Via pública</t>
  </si>
  <si>
    <t>Outros</t>
  </si>
  <si>
    <t xml:space="preserve">Faixa Etária</t>
  </si>
  <si>
    <t xml:space="preserve">&lt; 01 ano</t>
  </si>
  <si>
    <t xml:space="preserve">01-04 anos</t>
  </si>
  <si>
    <t xml:space="preserve">05-09 anos</t>
  </si>
  <si>
    <t xml:space="preserve">10-14 anos</t>
  </si>
  <si>
    <t xml:space="preserve">15-19 anos</t>
  </si>
  <si>
    <t xml:space="preserve">20-29 anos</t>
  </si>
  <si>
    <t xml:space="preserve">30-39 anos</t>
  </si>
  <si>
    <t xml:space="preserve">40-49 anos</t>
  </si>
  <si>
    <t xml:space="preserve">50-59 anos</t>
  </si>
  <si>
    <t xml:space="preserve">60-69 anos</t>
  </si>
  <si>
    <t xml:space="preserve">70-79 anos</t>
  </si>
  <si>
    <t xml:space="preserve">80 e +</t>
  </si>
  <si>
    <t xml:space="preserve">Causas Determinadas</t>
  </si>
  <si>
    <t xml:space="preserve">D. hipertensivas</t>
  </si>
  <si>
    <t xml:space="preserve">Infarto agudo do miocardio</t>
  </si>
  <si>
    <t xml:space="preserve">Outras doencas isquem coracao</t>
  </si>
  <si>
    <t>Miocardiopatias</t>
  </si>
  <si>
    <t xml:space="preserve">Insuficiencia cardiaca</t>
  </si>
  <si>
    <t xml:space="preserve">D. cerebrovasculares</t>
  </si>
  <si>
    <t>Ateroesclerose</t>
  </si>
  <si>
    <t xml:space="preserve">Causa (Cap CID10)</t>
  </si>
  <si>
    <t xml:space="preserve">I.   Algumas doenças infecciosas e parasitárias</t>
  </si>
  <si>
    <t xml:space="preserve">II.  Neoplasias (tumores)</t>
  </si>
  <si>
    <t xml:space="preserve">III. Doenças sangue órgãos hemat e transt imunitár</t>
  </si>
  <si>
    <t xml:space="preserve">IV.  Doenças endócrinas nutricionais e metabólicas</t>
  </si>
  <si>
    <t xml:space="preserve">V.   Transtornos mentais e comportamentais</t>
  </si>
  <si>
    <t xml:space="preserve">VI.  Doenças do sistema nervoso</t>
  </si>
  <si>
    <t xml:space="preserve">VIII.Doenças do ouvido e da apófise mastóide</t>
  </si>
  <si>
    <t xml:space="preserve">IX.  Doenças do aparelho circulatório</t>
  </si>
  <si>
    <t xml:space="preserve">X.   Doenças do aparelho respiratório</t>
  </si>
  <si>
    <t xml:space="preserve">XI.  Doenças do aparelho digestivo</t>
  </si>
  <si>
    <t xml:space="preserve">XII. Doenças da pele e do tecido subcutâneo</t>
  </si>
  <si>
    <t xml:space="preserve">XIII.Doenças sist osteomuscular e tec conjuntivo</t>
  </si>
  <si>
    <t xml:space="preserve">XIV. Doenças do aparelho geniturinário</t>
  </si>
  <si>
    <t xml:space="preserve">XV.  Gravidez parto e puerpério</t>
  </si>
  <si>
    <t xml:space="preserve">XVI. Algumas afec originadas no período perinatal</t>
  </si>
  <si>
    <t xml:space="preserve">XVII.Malf cong deformid e anomalias cromossômicas</t>
  </si>
  <si>
    <t xml:space="preserve">XVIII.Sint sinais e achad anorm ex clín e laborat</t>
  </si>
  <si>
    <t xml:space="preserve">XX.  Causas externas de morbidade e mortalidade</t>
  </si>
  <si>
    <t xml:space="preserve">D Isquem Coracao</t>
  </si>
  <si>
    <t xml:space="preserve">I20 Angina pectoris</t>
  </si>
  <si>
    <t xml:space="preserve">I21 Infarto agudo do miocardio</t>
  </si>
  <si>
    <t xml:space="preserve">I24 Outr doenc isquemicas agudas do coracao</t>
  </si>
  <si>
    <t xml:space="preserve">I25 Doenc isquemica cronica do coracao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</si>
</sst>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</font>
    <font>
      <sz val="10.000000"/>
      <name val="Arial"/>
    </font>
    <font>
      <b/>
      <sz val="16.000000"/>
      <name val="Times New Roman"/>
    </font>
    <font>
      <b/>
      <sz val="11.000000"/>
      <name val="Times New Roman"/>
    </font>
    <font>
      <b/>
      <sz val="10.000000"/>
      <color indexed="2"/>
      <name val="Arial"/>
    </font>
    <font>
      <b/>
      <sz val="12.000000"/>
      <name val="Times New Roman"/>
    </font>
    <font>
      <b/>
      <sz val="10.000000"/>
      <name val="Times New Roman"/>
    </font>
    <font>
      <b/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/>
        <bgColor indexed="26"/>
      </patternFill>
    </fill>
  </fills>
  <borders count="2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none"/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medium">
        <color theme="1"/>
      </top>
      <bottom style="medium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8"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center"/>
      <protection hidden="0" locked="1"/>
    </xf>
    <xf fontId="1" fillId="0" borderId="1" numFmtId="0" xfId="0" applyFont="1" applyBorder="1" applyProtection="0">
      <protection hidden="0" locked="1"/>
    </xf>
    <xf fontId="3" fillId="2" borderId="2" numFmtId="0" xfId="0" applyFont="1" applyFill="1" applyBorder="1" applyAlignment="1" applyProtection="0">
      <alignment horizontal="center" wrapText="1"/>
      <protection hidden="0" locked="1"/>
    </xf>
    <xf fontId="3" fillId="2" borderId="3" numFmtId="0" xfId="0" applyFont="1" applyFill="1" applyBorder="1" applyAlignment="1" applyProtection="0">
      <alignment horizontal="center" wrapText="1"/>
      <protection hidden="0" locked="1"/>
    </xf>
    <xf fontId="3" fillId="2" borderId="4" numFmtId="0" xfId="0" applyFont="1" applyFill="1" applyBorder="1" applyAlignment="1" applyProtection="0">
      <alignment horizontal="center" wrapText="1"/>
      <protection hidden="0" locked="1"/>
    </xf>
    <xf fontId="3" fillId="2" borderId="5" numFmtId="0" xfId="0" applyFont="1" applyFill="1" applyBorder="1" applyAlignment="1" applyProtection="0">
      <alignment horizontal="center" wrapText="1"/>
      <protection hidden="0" locked="1"/>
    </xf>
    <xf fontId="4" fillId="2" borderId="6" numFmtId="0" xfId="0" applyFont="1" applyFill="1" applyBorder="1" applyAlignment="1" applyProtection="0">
      <alignment horizontal="center" wrapText="1"/>
      <protection hidden="0" locked="1"/>
    </xf>
    <xf fontId="5" fillId="0" borderId="7" numFmtId="0" xfId="0" applyFont="1" applyBorder="1" applyProtection="0">
      <protection hidden="0" locked="1"/>
    </xf>
    <xf fontId="6" fillId="0" borderId="8" numFmtId="0" xfId="0" applyFont="1" applyBorder="1" applyProtection="0">
      <protection hidden="0" locked="1"/>
    </xf>
    <xf fontId="6" fillId="0" borderId="9" numFmtId="0" xfId="0" applyFont="1" applyBorder="1" applyProtection="0">
      <protection hidden="0" locked="1"/>
    </xf>
    <xf fontId="6" fillId="0" borderId="10" numFmtId="0" xfId="0" applyFont="1" applyBorder="1" applyProtection="0">
      <protection hidden="0" locked="1"/>
    </xf>
    <xf fontId="7" fillId="2" borderId="11" numFmtId="0" xfId="0" applyFont="1" applyFill="1" applyBorder="1" applyProtection="0">
      <protection hidden="0" locked="1"/>
    </xf>
    <xf fontId="7" fillId="2" borderId="7" numFmtId="0" xfId="0" applyFont="1" applyFill="1" applyBorder="1" applyProtection="0">
      <protection hidden="0" locked="1"/>
    </xf>
    <xf fontId="5" fillId="0" borderId="12" numFmtId="0" xfId="0" applyFont="1" applyBorder="1" applyProtection="0">
      <protection hidden="0" locked="1"/>
    </xf>
    <xf fontId="6" fillId="0" borderId="13" numFmtId="0" xfId="0" applyFont="1" applyBorder="1" applyProtection="0">
      <protection hidden="0" locked="1"/>
    </xf>
    <xf fontId="6" fillId="0" borderId="14" numFmtId="0" xfId="0" applyFont="1" applyBorder="1" applyProtection="0">
      <protection hidden="0" locked="1"/>
    </xf>
    <xf fontId="6" fillId="0" borderId="15" numFmtId="0" xfId="0" applyFont="1" applyBorder="1" applyProtection="0">
      <protection hidden="0" locked="1"/>
    </xf>
    <xf fontId="7" fillId="2" borderId="12" numFmtId="0" xfId="0" applyFont="1" applyFill="1" applyBorder="1" applyProtection="0">
      <protection hidden="0" locked="1"/>
    </xf>
    <xf fontId="6" fillId="2" borderId="6" numFmtId="0" xfId="0" applyFont="1" applyFill="1" applyBorder="1" applyAlignment="1" applyProtection="0">
      <alignment horizontal="right"/>
      <protection hidden="0" locked="1"/>
    </xf>
    <xf fontId="6" fillId="2" borderId="16" numFmtId="0" xfId="0" applyFont="1" applyFill="1" applyBorder="1" applyAlignment="1" applyProtection="0">
      <alignment horizontal="right"/>
      <protection hidden="0" locked="1"/>
    </xf>
    <xf fontId="6" fillId="2" borderId="17" numFmtId="0" xfId="0" applyFont="1" applyFill="1" applyBorder="1" applyAlignment="1" applyProtection="0">
      <alignment horizontal="right"/>
      <protection hidden="0" locked="1"/>
    </xf>
    <xf fontId="6" fillId="2" borderId="18" numFmtId="0" xfId="0" applyFont="1" applyFill="1" applyBorder="1" applyAlignment="1" applyProtection="0">
      <alignment horizontal="right"/>
      <protection hidden="0" locked="1"/>
    </xf>
    <xf fontId="6" fillId="2" borderId="19" numFmtId="0" xfId="0" applyFont="1" applyFill="1" applyBorder="1" applyAlignment="1" applyProtection="0">
      <alignment horizontal="right"/>
      <protection hidden="0" locked="1"/>
    </xf>
    <xf fontId="7" fillId="2" borderId="6" numFmtId="0" xfId="0" applyFont="1" applyFill="1" applyBorder="1" applyProtection="0">
      <protection hidden="0" locked="1"/>
    </xf>
    <xf fontId="1" fillId="0" borderId="0" numFmtId="0" xfId="0" applyFont="1" applyProtection="0">
      <protection hidden="0" locked="1"/>
    </xf>
    <xf fontId="7" fillId="3" borderId="12" numFmtId="0" xfId="0" applyFont="1" applyFill="1" applyBorder="1" applyProtection="0">
      <protection hidden="0" locked="1"/>
    </xf>
    <xf fontId="6" fillId="2" borderId="20" numFmtId="0" xfId="0" applyFont="1" applyFill="1" applyBorder="1" applyAlignment="1" applyProtection="0">
      <alignment horizontal="right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67" zoomScale="100" workbookViewId="0">
      <selection activeCell="B47" activeCellId="0" sqref="B47"/>
    </sheetView>
  </sheetViews>
  <sheetFormatPr defaultColWidth="8.6796875" defaultRowHeight="14.25"/>
  <cols>
    <col customWidth="1" min="1" max="1" style="0" width="53.420000000000002"/>
    <col bestFit="1" min="2" max="2" width="7.00390625"/>
    <col customWidth="1" min="22" max="22" style="0" width="9.0800000000000001"/>
  </cols>
  <sheetData>
    <row r="1" ht="19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4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4.25">
      <c r="A3" s="3" t="s">
        <v>1</v>
      </c>
      <c r="B3" s="4">
        <v>2006</v>
      </c>
      <c r="C3" s="5">
        <v>2007</v>
      </c>
      <c r="D3" s="5">
        <v>2008</v>
      </c>
      <c r="E3" s="5">
        <v>2009</v>
      </c>
      <c r="F3" s="5">
        <v>2010</v>
      </c>
      <c r="G3" s="5">
        <v>2011</v>
      </c>
      <c r="H3" s="5">
        <v>2012</v>
      </c>
      <c r="I3" s="5">
        <v>2013</v>
      </c>
      <c r="J3" s="5">
        <v>2014</v>
      </c>
      <c r="K3" s="5">
        <v>2015</v>
      </c>
      <c r="L3" s="5">
        <v>2016</v>
      </c>
      <c r="M3" s="5">
        <v>2017</v>
      </c>
      <c r="N3" s="5">
        <v>2018</v>
      </c>
      <c r="O3" s="5">
        <v>2019</v>
      </c>
      <c r="P3" s="5">
        <v>2020</v>
      </c>
      <c r="Q3" s="5">
        <v>2021</v>
      </c>
      <c r="R3" s="5">
        <v>2022</v>
      </c>
      <c r="S3" s="5">
        <v>2023</v>
      </c>
      <c r="T3" s="5">
        <v>2024</v>
      </c>
      <c r="U3" s="6">
        <v>2025</v>
      </c>
      <c r="V3" s="7" t="s">
        <v>2</v>
      </c>
    </row>
    <row r="4" ht="15">
      <c r="A4" s="8" t="s">
        <v>3</v>
      </c>
      <c r="B4" s="9">
        <v>198</v>
      </c>
      <c r="C4" s="10">
        <v>178</v>
      </c>
      <c r="D4" s="10">
        <v>209</v>
      </c>
      <c r="E4" s="10">
        <v>182</v>
      </c>
      <c r="F4" s="10">
        <v>182</v>
      </c>
      <c r="G4" s="10">
        <v>203</v>
      </c>
      <c r="H4" s="10">
        <v>202</v>
      </c>
      <c r="I4" s="10">
        <v>206</v>
      </c>
      <c r="J4" s="10">
        <v>196</v>
      </c>
      <c r="K4" s="10">
        <v>207</v>
      </c>
      <c r="L4" s="10">
        <v>202</v>
      </c>
      <c r="M4" s="10">
        <v>195</v>
      </c>
      <c r="N4" s="10">
        <v>209</v>
      </c>
      <c r="O4" s="10">
        <v>210</v>
      </c>
      <c r="P4" s="10">
        <v>220</v>
      </c>
      <c r="Q4" s="10">
        <v>264</v>
      </c>
      <c r="R4" s="10">
        <v>223</v>
      </c>
      <c r="S4" s="10">
        <v>240</v>
      </c>
      <c r="T4" s="10">
        <v>255</v>
      </c>
      <c r="U4" s="11">
        <v>229</v>
      </c>
      <c r="V4" s="12">
        <f t="shared" ref="V4:V7" si="0">SUM(B4:U4)</f>
        <v>4210</v>
      </c>
    </row>
    <row r="5" ht="15">
      <c r="A5" s="8" t="s">
        <v>4</v>
      </c>
      <c r="B5" s="9">
        <v>148</v>
      </c>
      <c r="C5" s="10">
        <v>161</v>
      </c>
      <c r="D5" s="10">
        <v>112</v>
      </c>
      <c r="E5" s="10">
        <v>126</v>
      </c>
      <c r="F5" s="10">
        <v>165</v>
      </c>
      <c r="G5" s="10">
        <v>143</v>
      </c>
      <c r="H5" s="10">
        <v>158</v>
      </c>
      <c r="I5" s="10">
        <v>159</v>
      </c>
      <c r="J5" s="10">
        <v>170</v>
      </c>
      <c r="K5" s="10">
        <v>171</v>
      </c>
      <c r="L5" s="10">
        <v>159</v>
      </c>
      <c r="M5" s="10">
        <v>149</v>
      </c>
      <c r="N5" s="10">
        <v>177</v>
      </c>
      <c r="O5" s="10">
        <v>153</v>
      </c>
      <c r="P5" s="10">
        <v>163</v>
      </c>
      <c r="Q5" s="10">
        <v>223</v>
      </c>
      <c r="R5" s="10">
        <v>193</v>
      </c>
      <c r="S5" s="10">
        <v>209</v>
      </c>
      <c r="T5" s="10">
        <v>245</v>
      </c>
      <c r="U5" s="11">
        <v>186</v>
      </c>
      <c r="V5" s="13">
        <f t="shared" si="0"/>
        <v>3370</v>
      </c>
    </row>
    <row r="6" ht="15">
      <c r="A6" s="14" t="s">
        <v>5</v>
      </c>
      <c r="B6" s="15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7">
        <v>0</v>
      </c>
      <c r="V6" s="18">
        <f t="shared" si="0"/>
        <v>1</v>
      </c>
    </row>
    <row r="7" ht="14.25">
      <c r="A7" s="19" t="s">
        <v>6</v>
      </c>
      <c r="B7" s="20">
        <f>SUM(B4:B6)</f>
        <v>346</v>
      </c>
      <c r="C7" s="21">
        <f>SUM(C4:C6)</f>
        <v>339</v>
      </c>
      <c r="D7" s="22">
        <f>SUM(D4:D6)</f>
        <v>321</v>
      </c>
      <c r="E7" s="22">
        <f>SUM(E4:E6)</f>
        <v>308</v>
      </c>
      <c r="F7" s="22">
        <f>SUM(F4:F6)</f>
        <v>347</v>
      </c>
      <c r="G7" s="22">
        <f>SUM(G4:G6)</f>
        <v>346</v>
      </c>
      <c r="H7" s="22">
        <f>SUM(H4:H6)</f>
        <v>360</v>
      </c>
      <c r="I7" s="22">
        <f>SUM(I4:I6)</f>
        <v>365</v>
      </c>
      <c r="J7" s="22">
        <f>SUM(J4:J6)</f>
        <v>366</v>
      </c>
      <c r="K7" s="22">
        <f>SUM(K4:K6)</f>
        <v>378</v>
      </c>
      <c r="L7" s="22">
        <f>SUM(L4:L6)</f>
        <v>361</v>
      </c>
      <c r="M7" s="22">
        <f>SUM(M4:M6)</f>
        <v>344</v>
      </c>
      <c r="N7" s="22">
        <f>SUM(N4:N6)</f>
        <v>387</v>
      </c>
      <c r="O7" s="22">
        <f>SUM(O4:O6)</f>
        <v>363</v>
      </c>
      <c r="P7" s="22">
        <f>SUM(P4:P6)</f>
        <v>383</v>
      </c>
      <c r="Q7" s="22">
        <f>SUM(Q4:Q6)</f>
        <v>487</v>
      </c>
      <c r="R7" s="22">
        <f>SUM(R4:R6)</f>
        <v>416</v>
      </c>
      <c r="S7" s="22">
        <f>SUM(S4:S6)</f>
        <v>449</v>
      </c>
      <c r="T7" s="22">
        <f>SUM(T4:T6)</f>
        <v>500</v>
      </c>
      <c r="U7" s="23">
        <f>SUM(U4:U6)</f>
        <v>415</v>
      </c>
      <c r="V7" s="24">
        <f t="shared" si="0"/>
        <v>7581</v>
      </c>
    </row>
    <row r="8" ht="14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ht="14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25.350000000000001">
      <c r="A10" s="3" t="s">
        <v>7</v>
      </c>
      <c r="B10" s="4">
        <v>2006</v>
      </c>
      <c r="C10" s="5">
        <v>2007</v>
      </c>
      <c r="D10" s="5">
        <v>2008</v>
      </c>
      <c r="E10" s="5">
        <v>2009</v>
      </c>
      <c r="F10" s="5">
        <v>2010</v>
      </c>
      <c r="G10" s="5">
        <v>2011</v>
      </c>
      <c r="H10" s="5">
        <v>2012</v>
      </c>
      <c r="I10" s="5">
        <v>2013</v>
      </c>
      <c r="J10" s="5">
        <v>2014</v>
      </c>
      <c r="K10" s="5">
        <v>2015</v>
      </c>
      <c r="L10" s="5">
        <v>2016</v>
      </c>
      <c r="M10" s="5">
        <v>2017</v>
      </c>
      <c r="N10" s="5">
        <v>2018</v>
      </c>
      <c r="O10" s="5">
        <v>2019</v>
      </c>
      <c r="P10" s="5">
        <v>2020</v>
      </c>
      <c r="Q10" s="5">
        <v>2021</v>
      </c>
      <c r="R10" s="5">
        <v>2022</v>
      </c>
      <c r="S10" s="5">
        <v>2023</v>
      </c>
      <c r="T10" s="5">
        <v>2024</v>
      </c>
      <c r="U10" s="6">
        <v>2025</v>
      </c>
      <c r="V10" s="7" t="s">
        <v>2</v>
      </c>
    </row>
    <row r="11" ht="15">
      <c r="A11" s="8" t="s">
        <v>8</v>
      </c>
      <c r="B11" s="9">
        <v>250</v>
      </c>
      <c r="C11" s="10">
        <v>259</v>
      </c>
      <c r="D11" s="10">
        <v>241</v>
      </c>
      <c r="E11" s="10">
        <v>249</v>
      </c>
      <c r="F11" s="10">
        <v>263</v>
      </c>
      <c r="G11" s="10">
        <v>262</v>
      </c>
      <c r="H11" s="10">
        <v>295</v>
      </c>
      <c r="I11" s="10">
        <v>287</v>
      </c>
      <c r="J11" s="10">
        <v>281</v>
      </c>
      <c r="K11" s="10">
        <v>289</v>
      </c>
      <c r="L11" s="10">
        <v>294</v>
      </c>
      <c r="M11" s="10">
        <v>263</v>
      </c>
      <c r="N11" s="10">
        <v>329</v>
      </c>
      <c r="O11" s="10">
        <v>307</v>
      </c>
      <c r="P11" s="10">
        <v>299</v>
      </c>
      <c r="Q11" s="10">
        <v>402</v>
      </c>
      <c r="R11" s="10">
        <v>321</v>
      </c>
      <c r="S11" s="10">
        <v>339</v>
      </c>
      <c r="T11" s="10">
        <v>364</v>
      </c>
      <c r="U11" s="11">
        <v>293</v>
      </c>
      <c r="V11" s="12">
        <f t="shared" ref="V11:V36" si="1">SUM(B11:U11)</f>
        <v>5887</v>
      </c>
    </row>
    <row r="12" ht="15">
      <c r="A12" s="8" t="s">
        <v>9</v>
      </c>
      <c r="B12" s="9">
        <v>1</v>
      </c>
      <c r="C12" s="10">
        <v>0</v>
      </c>
      <c r="D12" s="10">
        <v>0</v>
      </c>
      <c r="E12" s="10">
        <v>1</v>
      </c>
      <c r="F12" s="10">
        <v>2</v>
      </c>
      <c r="G12" s="10">
        <v>2</v>
      </c>
      <c r="H12" s="10">
        <v>2</v>
      </c>
      <c r="I12" s="10">
        <v>1</v>
      </c>
      <c r="J12" s="10">
        <v>0</v>
      </c>
      <c r="K12" s="10">
        <v>1</v>
      </c>
      <c r="L12" s="10">
        <v>3</v>
      </c>
      <c r="M12" s="10">
        <v>1</v>
      </c>
      <c r="N12" s="10">
        <v>1</v>
      </c>
      <c r="O12" s="10">
        <v>2</v>
      </c>
      <c r="P12" s="10">
        <v>0</v>
      </c>
      <c r="Q12" s="10">
        <v>4</v>
      </c>
      <c r="R12" s="10">
        <v>1</v>
      </c>
      <c r="S12" s="10">
        <v>1</v>
      </c>
      <c r="T12" s="10">
        <v>3</v>
      </c>
      <c r="U12" s="11">
        <v>15</v>
      </c>
      <c r="V12" s="13">
        <f t="shared" si="1"/>
        <v>41</v>
      </c>
    </row>
    <row r="13" ht="15">
      <c r="A13" s="8" t="s">
        <v>10</v>
      </c>
      <c r="B13" s="9">
        <v>73</v>
      </c>
      <c r="C13" s="10">
        <v>66</v>
      </c>
      <c r="D13" s="10">
        <v>63</v>
      </c>
      <c r="E13" s="10">
        <v>40</v>
      </c>
      <c r="F13" s="10">
        <v>65</v>
      </c>
      <c r="G13" s="10">
        <v>61</v>
      </c>
      <c r="H13" s="10">
        <v>43</v>
      </c>
      <c r="I13" s="10">
        <v>60</v>
      </c>
      <c r="J13" s="10">
        <v>65</v>
      </c>
      <c r="K13" s="10">
        <v>60</v>
      </c>
      <c r="L13" s="10">
        <v>48</v>
      </c>
      <c r="M13" s="10">
        <v>61</v>
      </c>
      <c r="N13" s="10">
        <v>44</v>
      </c>
      <c r="O13" s="10">
        <v>44</v>
      </c>
      <c r="P13" s="10">
        <v>64</v>
      </c>
      <c r="Q13" s="10">
        <v>67</v>
      </c>
      <c r="R13" s="10">
        <v>73</v>
      </c>
      <c r="S13" s="10">
        <v>81</v>
      </c>
      <c r="T13" s="10">
        <v>83</v>
      </c>
      <c r="U13" s="11">
        <v>91</v>
      </c>
      <c r="V13" s="13">
        <f t="shared" si="1"/>
        <v>1252</v>
      </c>
    </row>
    <row r="14" ht="15">
      <c r="A14" s="8" t="s">
        <v>11</v>
      </c>
      <c r="B14" s="9">
        <v>11</v>
      </c>
      <c r="C14" s="10">
        <v>9</v>
      </c>
      <c r="D14" s="10">
        <v>6</v>
      </c>
      <c r="E14" s="10">
        <v>6</v>
      </c>
      <c r="F14" s="10">
        <v>9</v>
      </c>
      <c r="G14" s="10">
        <v>14</v>
      </c>
      <c r="H14" s="10">
        <v>11</v>
      </c>
      <c r="I14" s="10">
        <v>7</v>
      </c>
      <c r="J14" s="10">
        <v>10</v>
      </c>
      <c r="K14" s="10">
        <v>19</v>
      </c>
      <c r="L14" s="10">
        <v>6</v>
      </c>
      <c r="M14" s="10">
        <v>8</v>
      </c>
      <c r="N14" s="10">
        <v>6</v>
      </c>
      <c r="O14" s="10">
        <v>4</v>
      </c>
      <c r="P14" s="10">
        <v>5</v>
      </c>
      <c r="Q14" s="10">
        <v>1</v>
      </c>
      <c r="R14" s="10">
        <v>8</v>
      </c>
      <c r="S14" s="10">
        <v>15</v>
      </c>
      <c r="T14" s="10">
        <v>14</v>
      </c>
      <c r="U14" s="11">
        <v>11</v>
      </c>
      <c r="V14" s="13">
        <f t="shared" si="1"/>
        <v>180</v>
      </c>
    </row>
    <row r="15" ht="15">
      <c r="A15" s="8" t="s">
        <v>12</v>
      </c>
      <c r="B15" s="9">
        <v>11</v>
      </c>
      <c r="C15" s="10">
        <v>5</v>
      </c>
      <c r="D15" s="10">
        <v>11</v>
      </c>
      <c r="E15" s="10">
        <v>12</v>
      </c>
      <c r="F15" s="10">
        <v>7</v>
      </c>
      <c r="G15" s="10">
        <v>7</v>
      </c>
      <c r="H15" s="10">
        <v>9</v>
      </c>
      <c r="I15" s="10">
        <v>10</v>
      </c>
      <c r="J15" s="10">
        <v>10</v>
      </c>
      <c r="K15" s="10">
        <v>9</v>
      </c>
      <c r="L15" s="10">
        <v>10</v>
      </c>
      <c r="M15" s="10">
        <v>11</v>
      </c>
      <c r="N15" s="10">
        <v>7</v>
      </c>
      <c r="O15" s="10">
        <v>6</v>
      </c>
      <c r="P15" s="10">
        <v>15</v>
      </c>
      <c r="Q15" s="10">
        <v>13</v>
      </c>
      <c r="R15" s="10">
        <v>13</v>
      </c>
      <c r="S15" s="10">
        <v>13</v>
      </c>
      <c r="T15" s="10">
        <v>36</v>
      </c>
      <c r="U15" s="11">
        <v>5</v>
      </c>
      <c r="V15" s="13">
        <f t="shared" si="1"/>
        <v>220</v>
      </c>
    </row>
    <row r="16" ht="15">
      <c r="A16" s="8" t="s">
        <v>5</v>
      </c>
      <c r="B16" s="9">
        <v>0</v>
      </c>
      <c r="C16" s="10">
        <v>0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1">
        <v>0</v>
      </c>
      <c r="V16" s="13">
        <f t="shared" si="1"/>
        <v>1</v>
      </c>
    </row>
    <row r="17" ht="15">
      <c r="A17" s="14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26"/>
    </row>
    <row r="18" ht="14.25">
      <c r="A18" s="19" t="s">
        <v>6</v>
      </c>
      <c r="B18" s="20">
        <f>SUM(B11:B17)</f>
        <v>346</v>
      </c>
      <c r="C18" s="21">
        <f>SUM(C11:C17)</f>
        <v>339</v>
      </c>
      <c r="D18" s="22">
        <f>SUM(D11:D17)</f>
        <v>321</v>
      </c>
      <c r="E18" s="22">
        <f>SUM(E11:E17)</f>
        <v>308</v>
      </c>
      <c r="F18" s="22">
        <f>SUM(F11:F17)</f>
        <v>347</v>
      </c>
      <c r="G18" s="22">
        <f>SUM(G11:G17)</f>
        <v>346</v>
      </c>
      <c r="H18" s="22">
        <f>SUM(H11:H17)</f>
        <v>360</v>
      </c>
      <c r="I18" s="22">
        <f>SUM(I11:I17)</f>
        <v>365</v>
      </c>
      <c r="J18" s="22">
        <f>SUM(J11:J17)</f>
        <v>366</v>
      </c>
      <c r="K18" s="22">
        <f>SUM(K11:K17)</f>
        <v>378</v>
      </c>
      <c r="L18" s="22">
        <f>SUM(L11:L17)</f>
        <v>361</v>
      </c>
      <c r="M18" s="22">
        <f>SUM(M11:M17)</f>
        <v>344</v>
      </c>
      <c r="N18" s="22">
        <f>SUM(N11:N17)</f>
        <v>387</v>
      </c>
      <c r="O18" s="22">
        <f>SUM(O11:O17)</f>
        <v>363</v>
      </c>
      <c r="P18" s="22">
        <f>SUM(P11:P17)</f>
        <v>383</v>
      </c>
      <c r="Q18" s="22">
        <f>SUM(Q11:Q17)</f>
        <v>487</v>
      </c>
      <c r="R18" s="22">
        <f>SUM(R11:R17)</f>
        <v>416</v>
      </c>
      <c r="S18" s="22">
        <f>SUM(S11:S17)</f>
        <v>449</v>
      </c>
      <c r="T18" s="22">
        <f>SUM(T11:T17)</f>
        <v>500</v>
      </c>
      <c r="U18" s="27">
        <f>SUM(U11:U17)</f>
        <v>415</v>
      </c>
      <c r="V18" s="24">
        <f t="shared" si="1"/>
        <v>7581</v>
      </c>
    </row>
    <row r="19" ht="14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ht="14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4.25">
      <c r="A21" s="3" t="s">
        <v>13</v>
      </c>
      <c r="B21" s="4">
        <v>2006</v>
      </c>
      <c r="C21" s="5">
        <v>2007</v>
      </c>
      <c r="D21" s="5">
        <v>2008</v>
      </c>
      <c r="E21" s="5">
        <v>2009</v>
      </c>
      <c r="F21" s="5">
        <v>2010</v>
      </c>
      <c r="G21" s="5">
        <v>2011</v>
      </c>
      <c r="H21" s="5">
        <v>2012</v>
      </c>
      <c r="I21" s="5">
        <v>2013</v>
      </c>
      <c r="J21" s="5">
        <v>2014</v>
      </c>
      <c r="K21" s="5">
        <v>2015</v>
      </c>
      <c r="L21" s="5">
        <v>2016</v>
      </c>
      <c r="M21" s="5">
        <v>2017</v>
      </c>
      <c r="N21" s="5">
        <v>2018</v>
      </c>
      <c r="O21" s="5">
        <v>2019</v>
      </c>
      <c r="P21" s="5">
        <v>2020</v>
      </c>
      <c r="Q21" s="5">
        <v>2021</v>
      </c>
      <c r="R21" s="5">
        <v>2022</v>
      </c>
      <c r="S21" s="5">
        <v>2023</v>
      </c>
      <c r="T21" s="5">
        <v>2024</v>
      </c>
      <c r="U21" s="6">
        <v>2025</v>
      </c>
      <c r="V21" s="7" t="s">
        <v>2</v>
      </c>
    </row>
    <row r="22" ht="15">
      <c r="A22" s="8" t="s">
        <v>14</v>
      </c>
      <c r="B22" s="9">
        <v>10</v>
      </c>
      <c r="C22" s="10">
        <v>8</v>
      </c>
      <c r="D22" s="10">
        <v>8</v>
      </c>
      <c r="E22" s="10">
        <v>9</v>
      </c>
      <c r="F22" s="10">
        <v>6</v>
      </c>
      <c r="G22" s="10">
        <v>7</v>
      </c>
      <c r="H22" s="10">
        <v>11</v>
      </c>
      <c r="I22" s="10">
        <v>11</v>
      </c>
      <c r="J22" s="10">
        <v>9</v>
      </c>
      <c r="K22" s="10">
        <v>7</v>
      </c>
      <c r="L22" s="10">
        <v>6</v>
      </c>
      <c r="M22" s="10">
        <v>7</v>
      </c>
      <c r="N22" s="10">
        <v>9</v>
      </c>
      <c r="O22" s="10">
        <v>13</v>
      </c>
      <c r="P22" s="10">
        <v>5</v>
      </c>
      <c r="Q22" s="10">
        <v>3</v>
      </c>
      <c r="R22" s="10">
        <v>3</v>
      </c>
      <c r="S22" s="10">
        <v>8</v>
      </c>
      <c r="T22" s="10">
        <v>3</v>
      </c>
      <c r="U22" s="11">
        <v>6</v>
      </c>
      <c r="V22" s="12">
        <f t="shared" si="1"/>
        <v>149</v>
      </c>
    </row>
    <row r="23" ht="15">
      <c r="A23" s="8" t="s">
        <v>15</v>
      </c>
      <c r="B23" s="9">
        <v>3</v>
      </c>
      <c r="C23" s="10">
        <v>2</v>
      </c>
      <c r="D23" s="10">
        <v>1</v>
      </c>
      <c r="E23" s="10">
        <v>1</v>
      </c>
      <c r="F23" s="10">
        <v>0</v>
      </c>
      <c r="G23" s="10">
        <v>1</v>
      </c>
      <c r="H23" s="10">
        <v>1</v>
      </c>
      <c r="I23" s="10">
        <v>0</v>
      </c>
      <c r="J23" s="10">
        <v>2</v>
      </c>
      <c r="K23" s="10">
        <v>2</v>
      </c>
      <c r="L23" s="10">
        <v>1</v>
      </c>
      <c r="M23" s="10">
        <v>1</v>
      </c>
      <c r="N23" s="10">
        <v>1</v>
      </c>
      <c r="O23" s="10">
        <v>1</v>
      </c>
      <c r="P23" s="10">
        <v>0</v>
      </c>
      <c r="Q23" s="10">
        <v>0</v>
      </c>
      <c r="R23" s="10">
        <v>1</v>
      </c>
      <c r="S23" s="10">
        <v>0</v>
      </c>
      <c r="T23" s="10">
        <v>1</v>
      </c>
      <c r="U23" s="11">
        <v>1</v>
      </c>
      <c r="V23" s="13">
        <f t="shared" si="1"/>
        <v>20</v>
      </c>
    </row>
    <row r="24" ht="15">
      <c r="A24" s="8" t="s">
        <v>16</v>
      </c>
      <c r="B24" s="9">
        <v>0</v>
      </c>
      <c r="C24" s="10">
        <v>2</v>
      </c>
      <c r="D24" s="10">
        <v>1</v>
      </c>
      <c r="E24" s="10">
        <v>0</v>
      </c>
      <c r="F24" s="10">
        <v>1</v>
      </c>
      <c r="G24" s="10">
        <v>0</v>
      </c>
      <c r="H24" s="10">
        <v>2</v>
      </c>
      <c r="I24" s="10">
        <v>0</v>
      </c>
      <c r="J24" s="10">
        <v>0</v>
      </c>
      <c r="K24" s="10">
        <v>1</v>
      </c>
      <c r="L24" s="10">
        <v>1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4</v>
      </c>
      <c r="S24" s="10">
        <v>2</v>
      </c>
      <c r="T24" s="10">
        <v>0</v>
      </c>
      <c r="U24" s="11">
        <v>1</v>
      </c>
      <c r="V24" s="13">
        <f t="shared" si="1"/>
        <v>16</v>
      </c>
    </row>
    <row r="25" ht="15">
      <c r="A25" s="8" t="s">
        <v>17</v>
      </c>
      <c r="B25" s="9">
        <v>0</v>
      </c>
      <c r="C25" s="10">
        <v>1</v>
      </c>
      <c r="D25" s="10">
        <v>0</v>
      </c>
      <c r="E25" s="10">
        <v>0</v>
      </c>
      <c r="F25" s="10">
        <v>2</v>
      </c>
      <c r="G25" s="10">
        <v>1</v>
      </c>
      <c r="H25" s="10">
        <v>0</v>
      </c>
      <c r="I25" s="10">
        <v>3</v>
      </c>
      <c r="J25" s="10">
        <v>1</v>
      </c>
      <c r="K25" s="10">
        <v>1</v>
      </c>
      <c r="L25" s="10">
        <v>1</v>
      </c>
      <c r="M25" s="10">
        <v>1</v>
      </c>
      <c r="N25" s="10">
        <v>0</v>
      </c>
      <c r="O25" s="10">
        <v>1</v>
      </c>
      <c r="P25" s="10">
        <v>0</v>
      </c>
      <c r="Q25" s="10">
        <v>1</v>
      </c>
      <c r="R25" s="10">
        <v>1</v>
      </c>
      <c r="S25" s="10">
        <v>2</v>
      </c>
      <c r="T25" s="10">
        <v>3</v>
      </c>
      <c r="U25" s="11">
        <v>0</v>
      </c>
      <c r="V25" s="13">
        <f t="shared" si="1"/>
        <v>19</v>
      </c>
    </row>
    <row r="26" ht="15">
      <c r="A26" s="8" t="s">
        <v>18</v>
      </c>
      <c r="B26" s="9">
        <v>3</v>
      </c>
      <c r="C26" s="10">
        <v>5</v>
      </c>
      <c r="D26" s="10">
        <v>2</v>
      </c>
      <c r="E26" s="10">
        <v>4</v>
      </c>
      <c r="F26" s="10">
        <v>2</v>
      </c>
      <c r="G26" s="10">
        <v>5</v>
      </c>
      <c r="H26" s="10">
        <v>4</v>
      </c>
      <c r="I26" s="10">
        <v>1</v>
      </c>
      <c r="J26" s="10">
        <v>1</v>
      </c>
      <c r="K26" s="10">
        <v>3</v>
      </c>
      <c r="L26" s="10">
        <v>2</v>
      </c>
      <c r="M26" s="10">
        <v>5</v>
      </c>
      <c r="N26" s="10">
        <v>6</v>
      </c>
      <c r="O26" s="10">
        <v>1</v>
      </c>
      <c r="P26" s="10">
        <v>0</v>
      </c>
      <c r="Q26" s="10">
        <v>0</v>
      </c>
      <c r="R26" s="10">
        <v>1</v>
      </c>
      <c r="S26" s="10">
        <v>6</v>
      </c>
      <c r="T26" s="10">
        <v>4</v>
      </c>
      <c r="U26" s="11">
        <v>3</v>
      </c>
      <c r="V26" s="13">
        <f t="shared" si="1"/>
        <v>58</v>
      </c>
    </row>
    <row r="27" ht="15">
      <c r="A27" s="8" t="s">
        <v>19</v>
      </c>
      <c r="B27" s="9">
        <v>10</v>
      </c>
      <c r="C27" s="10">
        <v>12</v>
      </c>
      <c r="D27" s="10">
        <v>7</v>
      </c>
      <c r="E27" s="10">
        <v>13</v>
      </c>
      <c r="F27" s="10">
        <v>10</v>
      </c>
      <c r="G27" s="10">
        <v>12</v>
      </c>
      <c r="H27" s="10">
        <v>3</v>
      </c>
      <c r="I27" s="10">
        <v>8</v>
      </c>
      <c r="J27" s="10">
        <v>10</v>
      </c>
      <c r="K27" s="10">
        <v>12</v>
      </c>
      <c r="L27" s="10">
        <v>8</v>
      </c>
      <c r="M27" s="10">
        <v>8</v>
      </c>
      <c r="N27" s="10">
        <v>7</v>
      </c>
      <c r="O27" s="10">
        <v>7</v>
      </c>
      <c r="P27" s="10">
        <v>4</v>
      </c>
      <c r="Q27" s="10">
        <v>9</v>
      </c>
      <c r="R27" s="10">
        <v>9</v>
      </c>
      <c r="S27" s="10">
        <v>13</v>
      </c>
      <c r="T27" s="10">
        <v>12</v>
      </c>
      <c r="U27" s="11">
        <v>5</v>
      </c>
      <c r="V27" s="13">
        <f t="shared" si="1"/>
        <v>179</v>
      </c>
    </row>
    <row r="28" ht="15">
      <c r="A28" s="8" t="s">
        <v>20</v>
      </c>
      <c r="B28" s="9">
        <v>11</v>
      </c>
      <c r="C28" s="10">
        <v>15</v>
      </c>
      <c r="D28" s="10">
        <v>18</v>
      </c>
      <c r="E28" s="10">
        <v>7</v>
      </c>
      <c r="F28" s="10">
        <v>10</v>
      </c>
      <c r="G28" s="10">
        <v>18</v>
      </c>
      <c r="H28" s="10">
        <v>11</v>
      </c>
      <c r="I28" s="10">
        <v>14</v>
      </c>
      <c r="J28" s="10">
        <v>12</v>
      </c>
      <c r="K28" s="10">
        <v>7</v>
      </c>
      <c r="L28" s="10">
        <v>11</v>
      </c>
      <c r="M28" s="10">
        <v>12</v>
      </c>
      <c r="N28" s="10">
        <v>14</v>
      </c>
      <c r="O28" s="10">
        <v>14</v>
      </c>
      <c r="P28" s="10">
        <v>11</v>
      </c>
      <c r="Q28" s="10">
        <v>18</v>
      </c>
      <c r="R28" s="10">
        <v>10</v>
      </c>
      <c r="S28" s="10">
        <v>15</v>
      </c>
      <c r="T28" s="10">
        <v>24</v>
      </c>
      <c r="U28" s="11">
        <v>12</v>
      </c>
      <c r="V28" s="13">
        <f t="shared" si="1"/>
        <v>264</v>
      </c>
    </row>
    <row r="29" ht="15">
      <c r="A29" s="8" t="s">
        <v>21</v>
      </c>
      <c r="B29" s="9">
        <v>29</v>
      </c>
      <c r="C29" s="10">
        <v>25</v>
      </c>
      <c r="D29" s="10">
        <v>27</v>
      </c>
      <c r="E29" s="10">
        <v>22</v>
      </c>
      <c r="F29" s="10">
        <v>23</v>
      </c>
      <c r="G29" s="10">
        <v>21</v>
      </c>
      <c r="H29" s="10">
        <v>19</v>
      </c>
      <c r="I29" s="10">
        <v>31</v>
      </c>
      <c r="J29" s="10">
        <v>25</v>
      </c>
      <c r="K29" s="10">
        <v>30</v>
      </c>
      <c r="L29" s="10">
        <v>19</v>
      </c>
      <c r="M29" s="10">
        <v>16</v>
      </c>
      <c r="N29" s="10">
        <v>23</v>
      </c>
      <c r="O29" s="10">
        <v>22</v>
      </c>
      <c r="P29" s="10">
        <v>18</v>
      </c>
      <c r="Q29" s="10">
        <v>29</v>
      </c>
      <c r="R29" s="10">
        <v>22</v>
      </c>
      <c r="S29" s="10">
        <v>25</v>
      </c>
      <c r="T29" s="10">
        <v>39</v>
      </c>
      <c r="U29" s="11">
        <v>24</v>
      </c>
      <c r="V29" s="13">
        <f t="shared" si="1"/>
        <v>489</v>
      </c>
    </row>
    <row r="30" ht="15">
      <c r="A30" s="8" t="s">
        <v>22</v>
      </c>
      <c r="B30" s="9">
        <v>38</v>
      </c>
      <c r="C30" s="10">
        <v>43</v>
      </c>
      <c r="D30" s="10">
        <v>37</v>
      </c>
      <c r="E30" s="10">
        <v>40</v>
      </c>
      <c r="F30" s="10">
        <v>41</v>
      </c>
      <c r="G30" s="10">
        <v>31</v>
      </c>
      <c r="H30" s="10">
        <v>57</v>
      </c>
      <c r="I30" s="10">
        <v>48</v>
      </c>
      <c r="J30" s="10">
        <v>55</v>
      </c>
      <c r="K30" s="10">
        <v>36</v>
      </c>
      <c r="L30" s="10">
        <v>47</v>
      </c>
      <c r="M30" s="10">
        <v>46</v>
      </c>
      <c r="N30" s="10">
        <v>45</v>
      </c>
      <c r="O30" s="10">
        <v>42</v>
      </c>
      <c r="P30" s="10">
        <v>53</v>
      </c>
      <c r="Q30" s="10">
        <v>72</v>
      </c>
      <c r="R30" s="10">
        <v>42</v>
      </c>
      <c r="S30" s="10">
        <v>58</v>
      </c>
      <c r="T30" s="10">
        <v>48</v>
      </c>
      <c r="U30" s="11">
        <v>52</v>
      </c>
      <c r="V30" s="13">
        <f t="shared" si="1"/>
        <v>931</v>
      </c>
    </row>
    <row r="31" ht="15">
      <c r="A31" s="8" t="s">
        <v>23</v>
      </c>
      <c r="B31" s="9">
        <v>65</v>
      </c>
      <c r="C31" s="10">
        <v>55</v>
      </c>
      <c r="D31" s="10">
        <v>49</v>
      </c>
      <c r="E31" s="10">
        <v>49</v>
      </c>
      <c r="F31" s="10">
        <v>75</v>
      </c>
      <c r="G31" s="10">
        <v>73</v>
      </c>
      <c r="H31" s="10">
        <v>64</v>
      </c>
      <c r="I31" s="10">
        <v>61</v>
      </c>
      <c r="J31" s="10">
        <v>76</v>
      </c>
      <c r="K31" s="10">
        <v>71</v>
      </c>
      <c r="L31" s="10">
        <v>67</v>
      </c>
      <c r="M31" s="10">
        <v>73</v>
      </c>
      <c r="N31" s="10">
        <v>68</v>
      </c>
      <c r="O31" s="10">
        <v>59</v>
      </c>
      <c r="P31" s="10">
        <v>84</v>
      </c>
      <c r="Q31" s="10">
        <v>86</v>
      </c>
      <c r="R31" s="10">
        <v>65</v>
      </c>
      <c r="S31" s="10">
        <v>78</v>
      </c>
      <c r="T31" s="10">
        <v>87</v>
      </c>
      <c r="U31" s="11">
        <v>71</v>
      </c>
      <c r="V31" s="13">
        <f t="shared" si="1"/>
        <v>1376</v>
      </c>
    </row>
    <row r="32" ht="15">
      <c r="A32" s="8" t="s">
        <v>24</v>
      </c>
      <c r="B32" s="9">
        <v>73</v>
      </c>
      <c r="C32" s="10">
        <v>79</v>
      </c>
      <c r="D32" s="10">
        <v>88</v>
      </c>
      <c r="E32" s="10">
        <v>76</v>
      </c>
      <c r="F32" s="10">
        <v>62</v>
      </c>
      <c r="G32" s="10">
        <v>78</v>
      </c>
      <c r="H32" s="10">
        <v>76</v>
      </c>
      <c r="I32" s="10">
        <v>76</v>
      </c>
      <c r="J32" s="10">
        <v>61</v>
      </c>
      <c r="K32" s="10">
        <v>91</v>
      </c>
      <c r="L32" s="10">
        <v>88</v>
      </c>
      <c r="M32" s="10">
        <v>62</v>
      </c>
      <c r="N32" s="10">
        <v>86</v>
      </c>
      <c r="O32" s="10">
        <v>78</v>
      </c>
      <c r="P32" s="10">
        <v>67</v>
      </c>
      <c r="Q32" s="10">
        <v>129</v>
      </c>
      <c r="R32" s="10">
        <v>110</v>
      </c>
      <c r="S32" s="10">
        <v>95</v>
      </c>
      <c r="T32" s="10">
        <v>99</v>
      </c>
      <c r="U32" s="11">
        <v>109</v>
      </c>
      <c r="V32" s="13">
        <f t="shared" si="1"/>
        <v>1683</v>
      </c>
    </row>
    <row r="33" ht="15">
      <c r="A33" s="8" t="s">
        <v>25</v>
      </c>
      <c r="B33" s="9">
        <v>94</v>
      </c>
      <c r="C33" s="10">
        <v>87</v>
      </c>
      <c r="D33" s="10">
        <v>78</v>
      </c>
      <c r="E33" s="10">
        <v>83</v>
      </c>
      <c r="F33" s="10">
        <v>108</v>
      </c>
      <c r="G33" s="10">
        <v>97</v>
      </c>
      <c r="H33" s="10">
        <v>103</v>
      </c>
      <c r="I33" s="10">
        <v>105</v>
      </c>
      <c r="J33" s="10">
        <v>106</v>
      </c>
      <c r="K33" s="10">
        <v>115</v>
      </c>
      <c r="L33" s="10">
        <v>105</v>
      </c>
      <c r="M33" s="10">
        <v>109</v>
      </c>
      <c r="N33" s="10">
        <v>119</v>
      </c>
      <c r="O33" s="10">
        <v>120</v>
      </c>
      <c r="P33" s="10">
        <v>137</v>
      </c>
      <c r="Q33" s="10">
        <v>136</v>
      </c>
      <c r="R33" s="10">
        <v>142</v>
      </c>
      <c r="S33" s="10">
        <v>143</v>
      </c>
      <c r="T33" s="10">
        <v>175</v>
      </c>
      <c r="U33" s="11">
        <v>128</v>
      </c>
      <c r="V33" s="13">
        <f t="shared" si="1"/>
        <v>2290</v>
      </c>
    </row>
    <row r="34" ht="15">
      <c r="A34" s="8" t="s">
        <v>5</v>
      </c>
      <c r="B34" s="9">
        <v>10</v>
      </c>
      <c r="C34" s="10">
        <v>5</v>
      </c>
      <c r="D34" s="10">
        <v>5</v>
      </c>
      <c r="E34" s="10">
        <v>4</v>
      </c>
      <c r="F34" s="10">
        <v>7</v>
      </c>
      <c r="G34" s="10">
        <v>2</v>
      </c>
      <c r="H34" s="10">
        <v>9</v>
      </c>
      <c r="I34" s="10">
        <v>7</v>
      </c>
      <c r="J34" s="10">
        <v>8</v>
      </c>
      <c r="K34" s="10">
        <v>2</v>
      </c>
      <c r="L34" s="10">
        <v>5</v>
      </c>
      <c r="M34" s="10">
        <v>4</v>
      </c>
      <c r="N34" s="10">
        <v>9</v>
      </c>
      <c r="O34" s="10">
        <v>4</v>
      </c>
      <c r="P34" s="10">
        <v>4</v>
      </c>
      <c r="Q34" s="10">
        <v>4</v>
      </c>
      <c r="R34" s="10">
        <v>6</v>
      </c>
      <c r="S34" s="10">
        <v>4</v>
      </c>
      <c r="T34" s="10">
        <v>5</v>
      </c>
      <c r="U34" s="11">
        <v>3</v>
      </c>
      <c r="V34" s="13">
        <f t="shared" si="1"/>
        <v>107</v>
      </c>
    </row>
    <row r="35" ht="15">
      <c r="A35" s="14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/>
      <c r="V35" s="26"/>
    </row>
    <row r="36" ht="14.25">
      <c r="A36" s="19" t="s">
        <v>6</v>
      </c>
      <c r="B36" s="20">
        <f>SUM(B22:B35)</f>
        <v>346</v>
      </c>
      <c r="C36" s="21">
        <f>SUM(C22:C35)</f>
        <v>339</v>
      </c>
      <c r="D36" s="22">
        <f>SUM(D22:D35)</f>
        <v>321</v>
      </c>
      <c r="E36" s="22">
        <f>SUM(E22:E35)</f>
        <v>308</v>
      </c>
      <c r="F36" s="22">
        <f>SUM(F22:F35)</f>
        <v>347</v>
      </c>
      <c r="G36" s="22">
        <f>SUM(G22:G35)</f>
        <v>346</v>
      </c>
      <c r="H36" s="22">
        <f>SUM(H22:H35)</f>
        <v>360</v>
      </c>
      <c r="I36" s="22">
        <f>SUM(I22:I35)</f>
        <v>365</v>
      </c>
      <c r="J36" s="22">
        <f>SUM(J22:J35)</f>
        <v>366</v>
      </c>
      <c r="K36" s="22">
        <f>SUM(K22:K35)</f>
        <v>378</v>
      </c>
      <c r="L36" s="22">
        <f>SUM(L22:L35)</f>
        <v>361</v>
      </c>
      <c r="M36" s="22">
        <f>SUM(M22:M35)</f>
        <v>344</v>
      </c>
      <c r="N36" s="22">
        <f>SUM(N22:N35)</f>
        <v>387</v>
      </c>
      <c r="O36" s="22">
        <f>SUM(O22:O35)</f>
        <v>363</v>
      </c>
      <c r="P36" s="22">
        <f>SUM(P22:P35)</f>
        <v>383</v>
      </c>
      <c r="Q36" s="22">
        <f>SUM(Q22:Q35)</f>
        <v>487</v>
      </c>
      <c r="R36" s="22">
        <f>SUM(R22:R35)</f>
        <v>416</v>
      </c>
      <c r="S36" s="22">
        <f>SUM(S22:S35)</f>
        <v>449</v>
      </c>
      <c r="T36" s="22">
        <f>SUM(T22:T35)</f>
        <v>500</v>
      </c>
      <c r="U36" s="27">
        <f>SUM(U22:U35)</f>
        <v>415</v>
      </c>
      <c r="V36" s="24">
        <f t="shared" si="1"/>
        <v>7581</v>
      </c>
    </row>
    <row r="38" ht="37.299999999999997">
      <c r="A38" s="3" t="s">
        <v>26</v>
      </c>
      <c r="B38" s="4">
        <v>2006</v>
      </c>
      <c r="C38" s="5">
        <v>2007</v>
      </c>
      <c r="D38" s="5">
        <v>2008</v>
      </c>
      <c r="E38" s="5">
        <v>2009</v>
      </c>
      <c r="F38" s="5">
        <v>2010</v>
      </c>
      <c r="G38" s="5">
        <v>2011</v>
      </c>
      <c r="H38" s="5">
        <v>2012</v>
      </c>
      <c r="I38" s="5">
        <v>2013</v>
      </c>
      <c r="J38" s="5">
        <v>2014</v>
      </c>
      <c r="K38" s="5">
        <v>2015</v>
      </c>
      <c r="L38" s="5">
        <v>2016</v>
      </c>
      <c r="M38" s="5">
        <v>2017</v>
      </c>
      <c r="N38" s="5">
        <v>2018</v>
      </c>
      <c r="O38" s="5">
        <v>2019</v>
      </c>
      <c r="P38" s="5">
        <v>2020</v>
      </c>
      <c r="Q38" s="5">
        <v>2021</v>
      </c>
      <c r="R38" s="5">
        <v>2022</v>
      </c>
      <c r="S38" s="5">
        <v>2023</v>
      </c>
      <c r="T38" s="5">
        <v>2024</v>
      </c>
      <c r="U38" s="6">
        <v>2025</v>
      </c>
      <c r="V38" s="7" t="s">
        <v>2</v>
      </c>
    </row>
    <row r="39" ht="15">
      <c r="A39" s="8" t="s">
        <v>27</v>
      </c>
      <c r="B39" s="9">
        <v>4</v>
      </c>
      <c r="C39" s="10">
        <v>8</v>
      </c>
      <c r="D39" s="10">
        <v>3</v>
      </c>
      <c r="E39" s="10">
        <v>8</v>
      </c>
      <c r="F39" s="10">
        <v>23</v>
      </c>
      <c r="G39" s="10">
        <v>14</v>
      </c>
      <c r="H39" s="10">
        <v>15</v>
      </c>
      <c r="I39" s="10">
        <v>22</v>
      </c>
      <c r="J39" s="10">
        <v>30</v>
      </c>
      <c r="K39" s="10">
        <v>34</v>
      </c>
      <c r="L39" s="10">
        <v>33</v>
      </c>
      <c r="M39" s="10">
        <v>35</v>
      </c>
      <c r="N39" s="10">
        <v>29</v>
      </c>
      <c r="O39" s="10">
        <v>16</v>
      </c>
      <c r="P39" s="10">
        <v>13</v>
      </c>
      <c r="Q39" s="10">
        <v>29</v>
      </c>
      <c r="R39" s="10">
        <v>34</v>
      </c>
      <c r="S39" s="10">
        <v>52</v>
      </c>
      <c r="T39" s="10">
        <v>46</v>
      </c>
      <c r="U39" s="11">
        <v>21</v>
      </c>
      <c r="V39" s="12">
        <f>SUM(B39:U39)</f>
        <v>469</v>
      </c>
    </row>
    <row r="40" ht="15">
      <c r="A40" s="8" t="s">
        <v>28</v>
      </c>
      <c r="B40" s="9">
        <v>21</v>
      </c>
      <c r="C40" s="10">
        <v>16</v>
      </c>
      <c r="D40" s="10">
        <v>16</v>
      </c>
      <c r="E40" s="10">
        <v>20</v>
      </c>
      <c r="F40" s="10">
        <v>21</v>
      </c>
      <c r="G40" s="10">
        <v>22</v>
      </c>
      <c r="H40" s="10">
        <v>20</v>
      </c>
      <c r="I40" s="10">
        <v>15</v>
      </c>
      <c r="J40" s="10">
        <v>11</v>
      </c>
      <c r="K40" s="10">
        <v>20</v>
      </c>
      <c r="L40" s="10">
        <v>30</v>
      </c>
      <c r="M40" s="10">
        <v>10</v>
      </c>
      <c r="N40" s="10">
        <v>19</v>
      </c>
      <c r="O40" s="10">
        <v>5</v>
      </c>
      <c r="P40" s="10">
        <v>16</v>
      </c>
      <c r="Q40" s="10">
        <v>20</v>
      </c>
      <c r="R40" s="10">
        <v>23</v>
      </c>
      <c r="S40" s="10">
        <v>19</v>
      </c>
      <c r="T40" s="10">
        <v>15</v>
      </c>
      <c r="U40" s="11">
        <v>15</v>
      </c>
      <c r="V40" s="12">
        <f>SUM(B40:U40)</f>
        <v>354</v>
      </c>
    </row>
    <row r="41" ht="15">
      <c r="A41" s="8" t="s">
        <v>29</v>
      </c>
      <c r="B41" s="9">
        <v>5</v>
      </c>
      <c r="C41" s="10">
        <v>2</v>
      </c>
      <c r="D41" s="10">
        <v>4</v>
      </c>
      <c r="E41" s="10">
        <v>3</v>
      </c>
      <c r="F41" s="10">
        <v>3</v>
      </c>
      <c r="G41" s="10">
        <v>2</v>
      </c>
      <c r="H41" s="10">
        <v>3</v>
      </c>
      <c r="I41" s="10">
        <v>3</v>
      </c>
      <c r="J41" s="10">
        <v>3</v>
      </c>
      <c r="K41" s="10">
        <v>0</v>
      </c>
      <c r="L41" s="10">
        <v>1</v>
      </c>
      <c r="M41" s="10">
        <v>3</v>
      </c>
      <c r="N41" s="10">
        <v>3</v>
      </c>
      <c r="O41" s="10">
        <v>3</v>
      </c>
      <c r="P41" s="10">
        <v>1</v>
      </c>
      <c r="Q41" s="10">
        <v>3</v>
      </c>
      <c r="R41" s="10">
        <v>2</v>
      </c>
      <c r="S41" s="10">
        <v>9</v>
      </c>
      <c r="T41" s="10">
        <v>7</v>
      </c>
      <c r="U41" s="11">
        <v>4</v>
      </c>
      <c r="V41" s="12">
        <f>SUM(B41:U41)</f>
        <v>64</v>
      </c>
    </row>
    <row r="42" ht="15">
      <c r="A42" s="8" t="s">
        <v>30</v>
      </c>
      <c r="B42" s="9">
        <v>2</v>
      </c>
      <c r="C42" s="10">
        <v>3</v>
      </c>
      <c r="D42" s="10">
        <v>1</v>
      </c>
      <c r="E42" s="10">
        <v>2</v>
      </c>
      <c r="F42" s="10">
        <v>1</v>
      </c>
      <c r="G42" s="10">
        <v>2</v>
      </c>
      <c r="H42" s="10">
        <v>0</v>
      </c>
      <c r="I42" s="10">
        <v>0</v>
      </c>
      <c r="J42" s="10">
        <v>1</v>
      </c>
      <c r="K42" s="10">
        <v>2</v>
      </c>
      <c r="L42" s="10">
        <v>1</v>
      </c>
      <c r="M42" s="10">
        <v>5</v>
      </c>
      <c r="N42" s="10">
        <v>4</v>
      </c>
      <c r="O42" s="10">
        <v>3</v>
      </c>
      <c r="P42" s="10">
        <v>4</v>
      </c>
      <c r="Q42" s="10">
        <v>1</v>
      </c>
      <c r="R42" s="10">
        <v>4</v>
      </c>
      <c r="S42" s="10">
        <v>1</v>
      </c>
      <c r="T42" s="10">
        <v>3</v>
      </c>
      <c r="U42" s="11">
        <v>0</v>
      </c>
      <c r="V42" s="12">
        <f>SUM(B42:U42)</f>
        <v>40</v>
      </c>
    </row>
    <row r="43" ht="15">
      <c r="A43" s="8" t="s">
        <v>31</v>
      </c>
      <c r="B43" s="9">
        <v>20</v>
      </c>
      <c r="C43" s="10">
        <v>12</v>
      </c>
      <c r="D43" s="10">
        <v>11</v>
      </c>
      <c r="E43" s="10">
        <v>11</v>
      </c>
      <c r="F43" s="10">
        <v>16</v>
      </c>
      <c r="G43" s="10">
        <v>13</v>
      </c>
      <c r="H43" s="10">
        <v>15</v>
      </c>
      <c r="I43" s="10">
        <v>9</v>
      </c>
      <c r="J43" s="10">
        <v>11</v>
      </c>
      <c r="K43" s="10">
        <v>13</v>
      </c>
      <c r="L43" s="10">
        <v>7</v>
      </c>
      <c r="M43" s="10">
        <v>14</v>
      </c>
      <c r="N43" s="10">
        <v>19</v>
      </c>
      <c r="O43" s="10">
        <v>6</v>
      </c>
      <c r="P43" s="10">
        <v>10</v>
      </c>
      <c r="Q43" s="10">
        <v>11</v>
      </c>
      <c r="R43" s="10">
        <v>8</v>
      </c>
      <c r="S43" s="10">
        <v>3</v>
      </c>
      <c r="T43" s="10">
        <v>6</v>
      </c>
      <c r="U43" s="11">
        <v>5</v>
      </c>
      <c r="V43" s="12">
        <f>SUM(B43:U43)</f>
        <v>220</v>
      </c>
    </row>
    <row r="44" ht="15">
      <c r="A44" s="8" t="s">
        <v>32</v>
      </c>
      <c r="B44" s="9">
        <v>41</v>
      </c>
      <c r="C44" s="10">
        <v>36</v>
      </c>
      <c r="D44" s="10">
        <v>29</v>
      </c>
      <c r="E44" s="10">
        <v>18</v>
      </c>
      <c r="F44" s="10">
        <v>27</v>
      </c>
      <c r="G44" s="10">
        <v>22</v>
      </c>
      <c r="H44" s="10">
        <v>24</v>
      </c>
      <c r="I44" s="10">
        <v>18</v>
      </c>
      <c r="J44" s="10">
        <v>22</v>
      </c>
      <c r="K44" s="10">
        <v>26</v>
      </c>
      <c r="L44" s="10">
        <v>22</v>
      </c>
      <c r="M44" s="10">
        <v>20</v>
      </c>
      <c r="N44" s="10">
        <v>21</v>
      </c>
      <c r="O44" s="10">
        <v>25</v>
      </c>
      <c r="P44" s="10">
        <v>22</v>
      </c>
      <c r="Q44" s="10">
        <v>26</v>
      </c>
      <c r="R44" s="10">
        <v>24</v>
      </c>
      <c r="S44" s="10">
        <v>22</v>
      </c>
      <c r="T44" s="10">
        <v>17</v>
      </c>
      <c r="U44" s="11">
        <v>16</v>
      </c>
      <c r="V44" s="12">
        <f>SUM(B44:U44)</f>
        <v>478</v>
      </c>
    </row>
    <row r="45" ht="15">
      <c r="A45" s="8" t="s">
        <v>33</v>
      </c>
      <c r="B45" s="9">
        <v>0</v>
      </c>
      <c r="C45" s="10">
        <v>0</v>
      </c>
      <c r="D45" s="10">
        <v>1</v>
      </c>
      <c r="E45" s="10">
        <v>1</v>
      </c>
      <c r="F45" s="10">
        <v>1</v>
      </c>
      <c r="G45" s="10">
        <v>0</v>
      </c>
      <c r="H45" s="10">
        <v>0</v>
      </c>
      <c r="I45" s="10">
        <v>1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</v>
      </c>
      <c r="T45" s="10">
        <v>0</v>
      </c>
      <c r="U45" s="11">
        <v>0</v>
      </c>
      <c r="V45" s="12">
        <f>SUM(B45:U45)</f>
        <v>5</v>
      </c>
    </row>
    <row r="46" ht="15">
      <c r="A46" s="14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7"/>
      <c r="V46" s="26"/>
    </row>
    <row r="47" ht="14.25">
      <c r="A47" s="19" t="s">
        <v>6</v>
      </c>
      <c r="B47" s="20">
        <f>SUM(B39:B46)</f>
        <v>93</v>
      </c>
      <c r="C47" s="20">
        <f>SUM(C39:C46)</f>
        <v>77</v>
      </c>
      <c r="D47" s="20">
        <f>SUM(D39:D46)</f>
        <v>65</v>
      </c>
      <c r="E47" s="20">
        <f>SUM(E39:E46)</f>
        <v>63</v>
      </c>
      <c r="F47" s="20">
        <f>SUM(F39:F46)</f>
        <v>92</v>
      </c>
      <c r="G47" s="20">
        <f>SUM(G39:G46)</f>
        <v>75</v>
      </c>
      <c r="H47" s="20">
        <f>SUM(H39:H46)</f>
        <v>77</v>
      </c>
      <c r="I47" s="20">
        <f>SUM(I39:I46)</f>
        <v>68</v>
      </c>
      <c r="J47" s="20">
        <f>SUM(J39:J46)</f>
        <v>78</v>
      </c>
      <c r="K47" s="20">
        <f>SUM(K39:K46)</f>
        <v>95</v>
      </c>
      <c r="L47" s="20">
        <f>SUM(L39:L46)</f>
        <v>94</v>
      </c>
      <c r="M47" s="20">
        <f>SUM(M39:M46)</f>
        <v>87</v>
      </c>
      <c r="N47" s="20">
        <f>SUM(N39:N46)</f>
        <v>95</v>
      </c>
      <c r="O47" s="20">
        <f>SUM(O39:O46)</f>
        <v>58</v>
      </c>
      <c r="P47" s="20">
        <f>SUM(P39:P46)</f>
        <v>66</v>
      </c>
      <c r="Q47" s="20">
        <f>SUM(Q39:Q46)</f>
        <v>90</v>
      </c>
      <c r="R47" s="20">
        <f>SUM(R39:R46)</f>
        <v>95</v>
      </c>
      <c r="S47" s="20">
        <f>SUM(S39:S46)</f>
        <v>107</v>
      </c>
      <c r="T47" s="20">
        <f>SUM(T39:T46)</f>
        <v>94</v>
      </c>
      <c r="U47" s="20">
        <f>SUM(U39:U46)</f>
        <v>61</v>
      </c>
      <c r="V47" s="24">
        <f>SUM(V39:V46)</f>
        <v>1630</v>
      </c>
    </row>
    <row r="48" ht="14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ht="14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25.350000000000001">
      <c r="A50" s="3" t="s">
        <v>34</v>
      </c>
      <c r="B50" s="4">
        <v>2006</v>
      </c>
      <c r="C50" s="5">
        <v>2007</v>
      </c>
      <c r="D50" s="5">
        <v>2008</v>
      </c>
      <c r="E50" s="5">
        <v>2009</v>
      </c>
      <c r="F50" s="5">
        <v>2010</v>
      </c>
      <c r="G50" s="5">
        <v>2011</v>
      </c>
      <c r="H50" s="5">
        <v>2012</v>
      </c>
      <c r="I50" s="5">
        <v>2013</v>
      </c>
      <c r="J50" s="5">
        <v>2014</v>
      </c>
      <c r="K50" s="5">
        <v>2015</v>
      </c>
      <c r="L50" s="5">
        <v>2016</v>
      </c>
      <c r="M50" s="5">
        <v>2017</v>
      </c>
      <c r="N50" s="5">
        <v>2018</v>
      </c>
      <c r="O50" s="5">
        <v>2019</v>
      </c>
      <c r="P50" s="5">
        <v>2020</v>
      </c>
      <c r="Q50" s="5">
        <v>2021</v>
      </c>
      <c r="R50" s="5">
        <v>2022</v>
      </c>
      <c r="S50" s="5">
        <v>2023</v>
      </c>
      <c r="T50" s="5">
        <v>2024</v>
      </c>
      <c r="U50" s="6">
        <v>2025</v>
      </c>
      <c r="V50" s="7" t="s">
        <v>2</v>
      </c>
    </row>
    <row r="51" ht="15">
      <c r="A51" s="8" t="s">
        <v>35</v>
      </c>
      <c r="B51" s="9">
        <v>9</v>
      </c>
      <c r="C51" s="10">
        <v>5</v>
      </c>
      <c r="D51" s="10">
        <v>6</v>
      </c>
      <c r="E51" s="10">
        <v>9</v>
      </c>
      <c r="F51" s="10">
        <v>5</v>
      </c>
      <c r="G51" s="10">
        <v>20</v>
      </c>
      <c r="H51" s="10">
        <v>8</v>
      </c>
      <c r="I51" s="10">
        <v>16</v>
      </c>
      <c r="J51" s="10">
        <v>9</v>
      </c>
      <c r="K51" s="10">
        <v>12</v>
      </c>
      <c r="L51" s="10">
        <v>23</v>
      </c>
      <c r="M51" s="10">
        <v>15</v>
      </c>
      <c r="N51" s="10">
        <v>20</v>
      </c>
      <c r="O51" s="10">
        <v>12</v>
      </c>
      <c r="P51" s="10">
        <v>35</v>
      </c>
      <c r="Q51" s="10">
        <v>150</v>
      </c>
      <c r="R51" s="10">
        <v>42</v>
      </c>
      <c r="S51" s="10">
        <v>22</v>
      </c>
      <c r="T51" s="10">
        <v>22</v>
      </c>
      <c r="U51" s="11">
        <v>20</v>
      </c>
      <c r="V51" s="12">
        <v>460</v>
      </c>
    </row>
    <row r="52" ht="15">
      <c r="A52" s="8" t="s">
        <v>36</v>
      </c>
      <c r="B52" s="9">
        <v>45</v>
      </c>
      <c r="C52" s="10">
        <v>56</v>
      </c>
      <c r="D52" s="10">
        <v>53</v>
      </c>
      <c r="E52" s="10">
        <v>46</v>
      </c>
      <c r="F52" s="10">
        <v>56</v>
      </c>
      <c r="G52" s="10">
        <v>53</v>
      </c>
      <c r="H52" s="10">
        <v>55</v>
      </c>
      <c r="I52" s="10">
        <v>63</v>
      </c>
      <c r="J52" s="10">
        <v>59</v>
      </c>
      <c r="K52" s="10">
        <v>57</v>
      </c>
      <c r="L52" s="10">
        <v>61</v>
      </c>
      <c r="M52" s="10">
        <v>49</v>
      </c>
      <c r="N52" s="10">
        <v>61</v>
      </c>
      <c r="O52" s="10">
        <v>72</v>
      </c>
      <c r="P52" s="10">
        <v>68</v>
      </c>
      <c r="Q52" s="10">
        <v>53</v>
      </c>
      <c r="R52" s="10">
        <v>74</v>
      </c>
      <c r="S52" s="10">
        <v>63</v>
      </c>
      <c r="T52" s="10">
        <v>80</v>
      </c>
      <c r="U52" s="11">
        <v>82</v>
      </c>
      <c r="V52" s="13">
        <v>1206</v>
      </c>
    </row>
    <row r="53" ht="15">
      <c r="A53" s="8" t="s">
        <v>37</v>
      </c>
      <c r="B53" s="9">
        <v>0</v>
      </c>
      <c r="C53" s="10">
        <v>1</v>
      </c>
      <c r="D53" s="10">
        <v>1</v>
      </c>
      <c r="E53" s="10">
        <v>0</v>
      </c>
      <c r="F53" s="10">
        <v>0</v>
      </c>
      <c r="G53" s="10">
        <v>0</v>
      </c>
      <c r="H53" s="10">
        <v>5</v>
      </c>
      <c r="I53" s="10">
        <v>0</v>
      </c>
      <c r="J53" s="10">
        <v>0</v>
      </c>
      <c r="K53" s="10">
        <v>0</v>
      </c>
      <c r="L53" s="10">
        <v>2</v>
      </c>
      <c r="M53" s="10">
        <v>3</v>
      </c>
      <c r="N53" s="10">
        <v>1</v>
      </c>
      <c r="O53" s="10">
        <v>2</v>
      </c>
      <c r="P53" s="10">
        <v>1</v>
      </c>
      <c r="Q53" s="10">
        <v>2</v>
      </c>
      <c r="R53" s="10">
        <v>1</v>
      </c>
      <c r="S53" s="10">
        <v>3</v>
      </c>
      <c r="T53" s="10">
        <v>4</v>
      </c>
      <c r="U53" s="11">
        <v>2</v>
      </c>
      <c r="V53" s="13">
        <v>28</v>
      </c>
    </row>
    <row r="54" ht="15">
      <c r="A54" s="8" t="s">
        <v>38</v>
      </c>
      <c r="B54" s="9">
        <v>15</v>
      </c>
      <c r="C54" s="10">
        <v>19</v>
      </c>
      <c r="D54" s="10">
        <v>5</v>
      </c>
      <c r="E54" s="10">
        <v>17</v>
      </c>
      <c r="F54" s="10">
        <v>7</v>
      </c>
      <c r="G54" s="10">
        <v>20</v>
      </c>
      <c r="H54" s="10">
        <v>15</v>
      </c>
      <c r="I54" s="10">
        <v>25</v>
      </c>
      <c r="J54" s="10">
        <v>34</v>
      </c>
      <c r="K54" s="10">
        <v>16</v>
      </c>
      <c r="L54" s="10">
        <v>18</v>
      </c>
      <c r="M54" s="10">
        <v>23</v>
      </c>
      <c r="N54" s="10">
        <v>15</v>
      </c>
      <c r="O54" s="10">
        <v>17</v>
      </c>
      <c r="P54" s="10">
        <v>14</v>
      </c>
      <c r="Q54" s="10">
        <v>26</v>
      </c>
      <c r="R54" s="10">
        <v>22</v>
      </c>
      <c r="S54" s="10">
        <v>52</v>
      </c>
      <c r="T54" s="10">
        <v>61</v>
      </c>
      <c r="U54" s="11">
        <v>39</v>
      </c>
      <c r="V54" s="13">
        <v>460</v>
      </c>
    </row>
    <row r="55" ht="15">
      <c r="A55" s="8" t="s">
        <v>39</v>
      </c>
      <c r="B55" s="9">
        <v>1</v>
      </c>
      <c r="C55" s="10">
        <v>1</v>
      </c>
      <c r="D55" s="10">
        <v>1</v>
      </c>
      <c r="E55" s="10">
        <v>1</v>
      </c>
      <c r="F55" s="10">
        <v>6</v>
      </c>
      <c r="G55" s="10">
        <v>5</v>
      </c>
      <c r="H55" s="10">
        <v>7</v>
      </c>
      <c r="I55" s="10">
        <v>4</v>
      </c>
      <c r="J55" s="10">
        <v>5</v>
      </c>
      <c r="K55" s="10">
        <v>10</v>
      </c>
      <c r="L55" s="10">
        <v>9</v>
      </c>
      <c r="M55" s="10">
        <v>5</v>
      </c>
      <c r="N55" s="10">
        <v>3</v>
      </c>
      <c r="O55" s="10">
        <v>3</v>
      </c>
      <c r="P55" s="10">
        <v>2</v>
      </c>
      <c r="Q55" s="10">
        <v>6</v>
      </c>
      <c r="R55" s="10">
        <v>5</v>
      </c>
      <c r="S55" s="10">
        <v>5</v>
      </c>
      <c r="T55" s="10">
        <v>15</v>
      </c>
      <c r="U55" s="11">
        <v>9</v>
      </c>
      <c r="V55" s="13">
        <v>103</v>
      </c>
    </row>
    <row r="56" ht="15">
      <c r="A56" s="8" t="s">
        <v>40</v>
      </c>
      <c r="B56" s="9">
        <v>1</v>
      </c>
      <c r="C56" s="10">
        <v>3</v>
      </c>
      <c r="D56" s="10">
        <v>0</v>
      </c>
      <c r="E56" s="10">
        <v>2</v>
      </c>
      <c r="F56" s="10">
        <v>9</v>
      </c>
      <c r="G56" s="10">
        <v>6</v>
      </c>
      <c r="H56" s="10">
        <v>6</v>
      </c>
      <c r="I56" s="10">
        <v>8</v>
      </c>
      <c r="J56" s="10">
        <v>7</v>
      </c>
      <c r="K56" s="10">
        <v>9</v>
      </c>
      <c r="L56" s="10">
        <v>10</v>
      </c>
      <c r="M56" s="10">
        <v>11</v>
      </c>
      <c r="N56" s="10">
        <v>9</v>
      </c>
      <c r="O56" s="10">
        <v>8</v>
      </c>
      <c r="P56" s="10">
        <v>13</v>
      </c>
      <c r="Q56" s="10">
        <v>22</v>
      </c>
      <c r="R56" s="10">
        <v>24</v>
      </c>
      <c r="S56" s="10">
        <v>24</v>
      </c>
      <c r="T56" s="10">
        <v>32</v>
      </c>
      <c r="U56" s="11">
        <v>18</v>
      </c>
      <c r="V56" s="13">
        <v>222</v>
      </c>
    </row>
    <row r="57" ht="15">
      <c r="A57" s="8" t="s">
        <v>41</v>
      </c>
      <c r="B57" s="9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1">
        <v>0</v>
      </c>
      <c r="V57" s="13">
        <v>1</v>
      </c>
    </row>
    <row r="58" ht="15">
      <c r="A58" s="8" t="s">
        <v>42</v>
      </c>
      <c r="B58" s="9">
        <v>103</v>
      </c>
      <c r="C58" s="10">
        <v>87</v>
      </c>
      <c r="D58" s="10">
        <v>73</v>
      </c>
      <c r="E58" s="10">
        <v>73</v>
      </c>
      <c r="F58" s="10">
        <v>105</v>
      </c>
      <c r="G58" s="10">
        <v>88</v>
      </c>
      <c r="H58" s="10">
        <v>95</v>
      </c>
      <c r="I58" s="10">
        <v>83</v>
      </c>
      <c r="J58" s="10">
        <v>92</v>
      </c>
      <c r="K58" s="10">
        <v>116</v>
      </c>
      <c r="L58" s="10">
        <v>106</v>
      </c>
      <c r="M58" s="10">
        <v>98</v>
      </c>
      <c r="N58" s="10">
        <v>109</v>
      </c>
      <c r="O58" s="10">
        <v>72</v>
      </c>
      <c r="P58" s="10">
        <v>81</v>
      </c>
      <c r="Q58" s="10">
        <v>103</v>
      </c>
      <c r="R58" s="10">
        <v>103</v>
      </c>
      <c r="S58" s="10">
        <v>124</v>
      </c>
      <c r="T58" s="10">
        <v>116</v>
      </c>
      <c r="U58" s="11">
        <v>77</v>
      </c>
      <c r="V58" s="13">
        <v>1904</v>
      </c>
    </row>
    <row r="59" ht="15">
      <c r="A59" s="8" t="s">
        <v>43</v>
      </c>
      <c r="B59" s="9">
        <v>50</v>
      </c>
      <c r="C59" s="10">
        <v>40</v>
      </c>
      <c r="D59" s="10">
        <v>47</v>
      </c>
      <c r="E59" s="10">
        <v>69</v>
      </c>
      <c r="F59" s="10">
        <v>72</v>
      </c>
      <c r="G59" s="10">
        <v>47</v>
      </c>
      <c r="H59" s="10">
        <v>62</v>
      </c>
      <c r="I59" s="10">
        <v>64</v>
      </c>
      <c r="J59" s="10">
        <v>43</v>
      </c>
      <c r="K59" s="10">
        <v>60</v>
      </c>
      <c r="L59" s="10">
        <v>55</v>
      </c>
      <c r="M59" s="10">
        <v>62</v>
      </c>
      <c r="N59" s="10">
        <v>57</v>
      </c>
      <c r="O59" s="10">
        <v>38</v>
      </c>
      <c r="P59" s="10">
        <v>42</v>
      </c>
      <c r="Q59" s="10">
        <v>44</v>
      </c>
      <c r="R59" s="10">
        <v>41</v>
      </c>
      <c r="S59" s="10">
        <v>42</v>
      </c>
      <c r="T59" s="10">
        <v>67</v>
      </c>
      <c r="U59" s="11">
        <v>69</v>
      </c>
      <c r="V59" s="13">
        <v>1071</v>
      </c>
    </row>
    <row r="60" ht="15">
      <c r="A60" s="8" t="s">
        <v>44</v>
      </c>
      <c r="B60" s="9">
        <v>17</v>
      </c>
      <c r="C60" s="10">
        <v>19</v>
      </c>
      <c r="D60" s="10">
        <v>19</v>
      </c>
      <c r="E60" s="10">
        <v>11</v>
      </c>
      <c r="F60" s="10">
        <v>17</v>
      </c>
      <c r="G60" s="10">
        <v>20</v>
      </c>
      <c r="H60" s="10">
        <v>23</v>
      </c>
      <c r="I60" s="10">
        <v>18</v>
      </c>
      <c r="J60" s="10">
        <v>32</v>
      </c>
      <c r="K60" s="10">
        <v>14</v>
      </c>
      <c r="L60" s="10">
        <v>8</v>
      </c>
      <c r="M60" s="10">
        <v>14</v>
      </c>
      <c r="N60" s="10">
        <v>19</v>
      </c>
      <c r="O60" s="10">
        <v>18</v>
      </c>
      <c r="P60" s="10">
        <v>11</v>
      </c>
      <c r="Q60" s="10">
        <v>13</v>
      </c>
      <c r="R60" s="10">
        <v>22</v>
      </c>
      <c r="S60" s="10">
        <v>27</v>
      </c>
      <c r="T60" s="10">
        <v>24</v>
      </c>
      <c r="U60" s="11">
        <v>15</v>
      </c>
      <c r="V60" s="13">
        <v>361</v>
      </c>
    </row>
    <row r="61" ht="15">
      <c r="A61" s="8" t="s">
        <v>45</v>
      </c>
      <c r="B61" s="9">
        <v>0</v>
      </c>
      <c r="C61" s="10">
        <v>0</v>
      </c>
      <c r="D61" s="10">
        <v>0</v>
      </c>
      <c r="E61" s="10">
        <v>2</v>
      </c>
      <c r="F61" s="10">
        <v>1</v>
      </c>
      <c r="G61" s="10">
        <v>3</v>
      </c>
      <c r="H61" s="10">
        <v>0</v>
      </c>
      <c r="I61" s="10">
        <v>1</v>
      </c>
      <c r="J61" s="10">
        <v>0</v>
      </c>
      <c r="K61" s="10">
        <v>0</v>
      </c>
      <c r="L61" s="10">
        <v>0</v>
      </c>
      <c r="M61" s="10">
        <v>1</v>
      </c>
      <c r="N61" s="10">
        <v>3</v>
      </c>
      <c r="O61" s="10">
        <v>1</v>
      </c>
      <c r="P61" s="10">
        <v>5</v>
      </c>
      <c r="Q61" s="10">
        <v>1</v>
      </c>
      <c r="R61" s="10">
        <v>4</v>
      </c>
      <c r="S61" s="10">
        <v>2</v>
      </c>
      <c r="T61" s="10">
        <v>2</v>
      </c>
      <c r="U61" s="11">
        <v>3</v>
      </c>
      <c r="V61" s="13">
        <v>29</v>
      </c>
    </row>
    <row r="62" ht="15">
      <c r="A62" s="8" t="s">
        <v>46</v>
      </c>
      <c r="B62" s="9">
        <v>2</v>
      </c>
      <c r="C62" s="10">
        <v>1</v>
      </c>
      <c r="D62" s="10">
        <v>0</v>
      </c>
      <c r="E62" s="10">
        <v>2</v>
      </c>
      <c r="F62" s="10">
        <v>0</v>
      </c>
      <c r="G62" s="10">
        <v>0</v>
      </c>
      <c r="H62" s="10">
        <v>3</v>
      </c>
      <c r="I62" s="10">
        <v>2</v>
      </c>
      <c r="J62" s="10">
        <v>1</v>
      </c>
      <c r="K62" s="10">
        <v>0</v>
      </c>
      <c r="L62" s="10">
        <v>4</v>
      </c>
      <c r="M62" s="10">
        <v>3</v>
      </c>
      <c r="N62" s="10">
        <v>4</v>
      </c>
      <c r="O62" s="10">
        <v>4</v>
      </c>
      <c r="P62" s="10">
        <v>1</v>
      </c>
      <c r="Q62" s="10">
        <v>0</v>
      </c>
      <c r="R62" s="10">
        <v>1</v>
      </c>
      <c r="S62" s="10">
        <v>3</v>
      </c>
      <c r="T62" s="10">
        <v>4</v>
      </c>
      <c r="U62" s="11">
        <v>2</v>
      </c>
      <c r="V62" s="13">
        <v>37</v>
      </c>
    </row>
    <row r="63" ht="15">
      <c r="A63" s="8" t="s">
        <v>47</v>
      </c>
      <c r="B63" s="9">
        <v>2</v>
      </c>
      <c r="C63" s="10">
        <v>13</v>
      </c>
      <c r="D63" s="10">
        <v>4</v>
      </c>
      <c r="E63" s="10">
        <v>9</v>
      </c>
      <c r="F63" s="10">
        <v>11</v>
      </c>
      <c r="G63" s="10">
        <v>11</v>
      </c>
      <c r="H63" s="10">
        <v>11</v>
      </c>
      <c r="I63" s="10">
        <v>11</v>
      </c>
      <c r="J63" s="10">
        <v>15</v>
      </c>
      <c r="K63" s="10">
        <v>7</v>
      </c>
      <c r="L63" s="10">
        <v>17</v>
      </c>
      <c r="M63" s="10">
        <v>11</v>
      </c>
      <c r="N63" s="10">
        <v>11</v>
      </c>
      <c r="O63" s="10">
        <v>18</v>
      </c>
      <c r="P63" s="10">
        <v>14</v>
      </c>
      <c r="Q63" s="10">
        <v>10</v>
      </c>
      <c r="R63" s="10">
        <v>13</v>
      </c>
      <c r="S63" s="10">
        <v>11</v>
      </c>
      <c r="T63" s="10">
        <v>12</v>
      </c>
      <c r="U63" s="11">
        <v>8</v>
      </c>
      <c r="V63" s="13">
        <v>219</v>
      </c>
    </row>
    <row r="64" ht="15">
      <c r="A64" s="8" t="s">
        <v>48</v>
      </c>
      <c r="B64" s="9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1</v>
      </c>
      <c r="O64" s="10">
        <v>0</v>
      </c>
      <c r="P64" s="10">
        <v>0</v>
      </c>
      <c r="Q64" s="10">
        <v>0</v>
      </c>
      <c r="R64" s="10">
        <v>1</v>
      </c>
      <c r="S64" s="10">
        <v>0</v>
      </c>
      <c r="T64" s="10">
        <v>0</v>
      </c>
      <c r="U64" s="11">
        <v>0</v>
      </c>
      <c r="V64" s="13">
        <v>2</v>
      </c>
    </row>
    <row r="65" ht="15">
      <c r="A65" s="8" t="s">
        <v>49</v>
      </c>
      <c r="B65" s="9">
        <v>12</v>
      </c>
      <c r="C65" s="10">
        <v>10</v>
      </c>
      <c r="D65" s="10">
        <v>7</v>
      </c>
      <c r="E65" s="10">
        <v>12</v>
      </c>
      <c r="F65" s="10">
        <v>11</v>
      </c>
      <c r="G65" s="10">
        <v>6</v>
      </c>
      <c r="H65" s="10">
        <v>10</v>
      </c>
      <c r="I65" s="10">
        <v>12</v>
      </c>
      <c r="J65" s="10">
        <v>13</v>
      </c>
      <c r="K65" s="10">
        <v>4</v>
      </c>
      <c r="L65" s="10">
        <v>9</v>
      </c>
      <c r="M65" s="10">
        <v>7</v>
      </c>
      <c r="N65" s="10">
        <v>18</v>
      </c>
      <c r="O65" s="10">
        <v>15</v>
      </c>
      <c r="P65" s="10">
        <v>6</v>
      </c>
      <c r="Q65" s="10">
        <v>6</v>
      </c>
      <c r="R65" s="10">
        <v>6</v>
      </c>
      <c r="S65" s="10">
        <v>6</v>
      </c>
      <c r="T65" s="10">
        <v>5</v>
      </c>
      <c r="U65" s="11">
        <v>3</v>
      </c>
      <c r="V65" s="13">
        <v>178</v>
      </c>
    </row>
    <row r="66" ht="15">
      <c r="A66" s="8" t="s">
        <v>50</v>
      </c>
      <c r="B66" s="9">
        <v>1</v>
      </c>
      <c r="C66" s="10">
        <v>3</v>
      </c>
      <c r="D66" s="10">
        <v>5</v>
      </c>
      <c r="E66" s="10">
        <v>1</v>
      </c>
      <c r="F66" s="10">
        <v>1</v>
      </c>
      <c r="G66" s="10">
        <v>3</v>
      </c>
      <c r="H66" s="10">
        <v>6</v>
      </c>
      <c r="I66" s="10">
        <v>2</v>
      </c>
      <c r="J66" s="10">
        <v>7</v>
      </c>
      <c r="K66" s="10">
        <v>6</v>
      </c>
      <c r="L66" s="10">
        <v>0</v>
      </c>
      <c r="M66" s="10">
        <v>2</v>
      </c>
      <c r="N66" s="10">
        <v>1</v>
      </c>
      <c r="O66" s="10">
        <v>2</v>
      </c>
      <c r="P66" s="10">
        <v>4</v>
      </c>
      <c r="Q66" s="10">
        <v>1</v>
      </c>
      <c r="R66" s="10">
        <v>4</v>
      </c>
      <c r="S66" s="10">
        <v>5</v>
      </c>
      <c r="T66" s="10">
        <v>2</v>
      </c>
      <c r="U66" s="11">
        <v>1</v>
      </c>
      <c r="V66" s="13">
        <v>57</v>
      </c>
    </row>
    <row r="67" ht="15">
      <c r="A67" s="8" t="s">
        <v>51</v>
      </c>
      <c r="B67" s="9">
        <v>55</v>
      </c>
      <c r="C67" s="10">
        <v>57</v>
      </c>
      <c r="D67" s="10">
        <v>64</v>
      </c>
      <c r="E67" s="10">
        <v>26</v>
      </c>
      <c r="F67" s="10">
        <v>22</v>
      </c>
      <c r="G67" s="10">
        <v>28</v>
      </c>
      <c r="H67" s="10">
        <v>23</v>
      </c>
      <c r="I67" s="10">
        <v>29</v>
      </c>
      <c r="J67" s="10">
        <v>21</v>
      </c>
      <c r="K67" s="10">
        <v>28</v>
      </c>
      <c r="L67" s="10">
        <v>12</v>
      </c>
      <c r="M67" s="10">
        <v>11</v>
      </c>
      <c r="N67" s="10">
        <v>20</v>
      </c>
      <c r="O67" s="10">
        <v>55</v>
      </c>
      <c r="P67" s="10">
        <v>65</v>
      </c>
      <c r="Q67" s="10">
        <v>23</v>
      </c>
      <c r="R67" s="10">
        <v>25</v>
      </c>
      <c r="S67" s="10">
        <v>21</v>
      </c>
      <c r="T67" s="10">
        <v>17</v>
      </c>
      <c r="U67" s="11">
        <v>32</v>
      </c>
      <c r="V67" s="13">
        <v>634</v>
      </c>
    </row>
    <row r="68" ht="15">
      <c r="A68" s="14" t="s">
        <v>52</v>
      </c>
      <c r="B68" s="15">
        <v>33</v>
      </c>
      <c r="C68" s="16">
        <v>24</v>
      </c>
      <c r="D68" s="16">
        <v>36</v>
      </c>
      <c r="E68" s="16">
        <v>28</v>
      </c>
      <c r="F68" s="16">
        <v>24</v>
      </c>
      <c r="G68" s="16">
        <v>36</v>
      </c>
      <c r="H68" s="16">
        <v>31</v>
      </c>
      <c r="I68" s="16">
        <v>27</v>
      </c>
      <c r="J68" s="16">
        <v>28</v>
      </c>
      <c r="K68" s="16">
        <v>39</v>
      </c>
      <c r="L68" s="16">
        <v>26</v>
      </c>
      <c r="M68" s="16">
        <v>29</v>
      </c>
      <c r="N68" s="16">
        <v>35</v>
      </c>
      <c r="O68" s="16">
        <v>26</v>
      </c>
      <c r="P68" s="16">
        <v>21</v>
      </c>
      <c r="Q68" s="16">
        <v>27</v>
      </c>
      <c r="R68" s="16">
        <v>28</v>
      </c>
      <c r="S68" s="16">
        <v>37</v>
      </c>
      <c r="T68" s="16">
        <v>37</v>
      </c>
      <c r="U68" s="17">
        <v>35</v>
      </c>
      <c r="V68" s="18">
        <v>607</v>
      </c>
    </row>
    <row r="69" ht="14.25">
      <c r="A69" s="19" t="s">
        <v>2</v>
      </c>
      <c r="B69" s="20">
        <v>346</v>
      </c>
      <c r="C69" s="21">
        <v>339</v>
      </c>
      <c r="D69" s="22">
        <v>321</v>
      </c>
      <c r="E69" s="22">
        <v>308</v>
      </c>
      <c r="F69" s="22">
        <v>347</v>
      </c>
      <c r="G69" s="22">
        <v>346</v>
      </c>
      <c r="H69" s="22">
        <v>360</v>
      </c>
      <c r="I69" s="22">
        <v>365</v>
      </c>
      <c r="J69" s="22">
        <v>366</v>
      </c>
      <c r="K69" s="22">
        <v>378</v>
      </c>
      <c r="L69" s="22">
        <v>361</v>
      </c>
      <c r="M69" s="22">
        <v>344</v>
      </c>
      <c r="N69" s="22">
        <v>387</v>
      </c>
      <c r="O69" s="22">
        <v>363</v>
      </c>
      <c r="P69" s="22">
        <v>383</v>
      </c>
      <c r="Q69" s="22">
        <v>487</v>
      </c>
      <c r="R69" s="22">
        <v>416</v>
      </c>
      <c r="S69" s="22">
        <v>447</v>
      </c>
      <c r="T69" s="22">
        <v>500</v>
      </c>
      <c r="U69" s="23">
        <v>415</v>
      </c>
      <c r="V69" s="24">
        <v>7579</v>
      </c>
    </row>
    <row r="70" ht="14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ht="14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ht="14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25.350000000000001">
      <c r="A73" s="3" t="s">
        <v>53</v>
      </c>
      <c r="B73" s="4">
        <v>2006</v>
      </c>
      <c r="C73" s="5">
        <v>2007</v>
      </c>
      <c r="D73" s="5">
        <v>2008</v>
      </c>
      <c r="E73" s="5">
        <v>2009</v>
      </c>
      <c r="F73" s="5">
        <v>2010</v>
      </c>
      <c r="G73" s="5">
        <v>2011</v>
      </c>
      <c r="H73" s="5">
        <v>2012</v>
      </c>
      <c r="I73" s="5">
        <v>2013</v>
      </c>
      <c r="J73" s="5">
        <v>2014</v>
      </c>
      <c r="K73" s="5">
        <v>2015</v>
      </c>
      <c r="L73" s="5">
        <v>2016</v>
      </c>
      <c r="M73" s="5">
        <v>2017</v>
      </c>
      <c r="N73" s="5">
        <v>2018</v>
      </c>
      <c r="O73" s="5">
        <v>2019</v>
      </c>
      <c r="P73" s="5">
        <v>2020</v>
      </c>
      <c r="Q73" s="5">
        <v>2021</v>
      </c>
      <c r="R73" s="5">
        <v>2022</v>
      </c>
      <c r="S73" s="5">
        <v>2023</v>
      </c>
      <c r="T73" s="5">
        <v>2024</v>
      </c>
      <c r="U73" s="6">
        <v>2025</v>
      </c>
      <c r="V73" s="7" t="s">
        <v>2</v>
      </c>
    </row>
    <row r="74" ht="15">
      <c r="A74" s="8" t="s">
        <v>54</v>
      </c>
      <c r="B74" s="9">
        <v>0</v>
      </c>
      <c r="C74" s="10">
        <v>0</v>
      </c>
      <c r="D74" s="10">
        <v>0</v>
      </c>
      <c r="E74" s="10">
        <v>0</v>
      </c>
      <c r="F74" s="10">
        <v>1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1</v>
      </c>
      <c r="T74" s="10">
        <v>0</v>
      </c>
      <c r="U74" s="11">
        <v>0</v>
      </c>
      <c r="V74" s="12">
        <v>2</v>
      </c>
    </row>
    <row r="75" ht="15">
      <c r="A75" s="8" t="s">
        <v>55</v>
      </c>
      <c r="B75" s="9">
        <v>21</v>
      </c>
      <c r="C75" s="10">
        <v>16</v>
      </c>
      <c r="D75" s="10">
        <v>16</v>
      </c>
      <c r="E75" s="10">
        <v>20</v>
      </c>
      <c r="F75" s="10">
        <v>21</v>
      </c>
      <c r="G75" s="10">
        <v>22</v>
      </c>
      <c r="H75" s="10">
        <v>20</v>
      </c>
      <c r="I75" s="10">
        <v>15</v>
      </c>
      <c r="J75" s="10">
        <v>11</v>
      </c>
      <c r="K75" s="10">
        <v>20</v>
      </c>
      <c r="L75" s="10">
        <v>30</v>
      </c>
      <c r="M75" s="10">
        <v>10</v>
      </c>
      <c r="N75" s="10">
        <v>19</v>
      </c>
      <c r="O75" s="10">
        <v>5</v>
      </c>
      <c r="P75" s="10">
        <v>16</v>
      </c>
      <c r="Q75" s="10">
        <v>20</v>
      </c>
      <c r="R75" s="10">
        <v>23</v>
      </c>
      <c r="S75" s="10">
        <v>19</v>
      </c>
      <c r="T75" s="10">
        <v>15</v>
      </c>
      <c r="U75" s="11">
        <v>15</v>
      </c>
      <c r="V75" s="13">
        <v>354</v>
      </c>
    </row>
    <row r="76" ht="15">
      <c r="A76" s="8" t="s">
        <v>56</v>
      </c>
      <c r="B76" s="9">
        <v>3</v>
      </c>
      <c r="C76" s="10">
        <v>0</v>
      </c>
      <c r="D76" s="10">
        <v>2</v>
      </c>
      <c r="E76" s="10">
        <v>1</v>
      </c>
      <c r="F76" s="10">
        <v>2</v>
      </c>
      <c r="G76" s="10">
        <v>0</v>
      </c>
      <c r="H76" s="10">
        <v>1</v>
      </c>
      <c r="I76" s="10">
        <v>2</v>
      </c>
      <c r="J76" s="10">
        <v>2</v>
      </c>
      <c r="K76" s="10">
        <v>0</v>
      </c>
      <c r="L76" s="10">
        <v>1</v>
      </c>
      <c r="M76" s="10">
        <v>0</v>
      </c>
      <c r="N76" s="10">
        <v>2</v>
      </c>
      <c r="O76" s="10">
        <v>1</v>
      </c>
      <c r="P76" s="10">
        <v>0</v>
      </c>
      <c r="Q76" s="10">
        <v>1</v>
      </c>
      <c r="R76" s="10">
        <v>0</v>
      </c>
      <c r="S76" s="10">
        <v>1</v>
      </c>
      <c r="T76" s="10">
        <v>1</v>
      </c>
      <c r="U76" s="11">
        <v>0</v>
      </c>
      <c r="V76" s="13">
        <v>20</v>
      </c>
    </row>
    <row r="77" ht="15">
      <c r="A77" s="14" t="s">
        <v>57</v>
      </c>
      <c r="B77" s="15">
        <v>2</v>
      </c>
      <c r="C77" s="16">
        <v>2</v>
      </c>
      <c r="D77" s="16">
        <v>2</v>
      </c>
      <c r="E77" s="16">
        <v>2</v>
      </c>
      <c r="F77" s="16">
        <v>0</v>
      </c>
      <c r="G77" s="16">
        <v>2</v>
      </c>
      <c r="H77" s="16">
        <v>2</v>
      </c>
      <c r="I77" s="16">
        <v>1</v>
      </c>
      <c r="J77" s="16">
        <v>1</v>
      </c>
      <c r="K77" s="16">
        <v>0</v>
      </c>
      <c r="L77" s="16">
        <v>0</v>
      </c>
      <c r="M77" s="16">
        <v>3</v>
      </c>
      <c r="N77" s="16">
        <v>1</v>
      </c>
      <c r="O77" s="16">
        <v>2</v>
      </c>
      <c r="P77" s="16">
        <v>1</v>
      </c>
      <c r="Q77" s="16">
        <v>2</v>
      </c>
      <c r="R77" s="16">
        <v>2</v>
      </c>
      <c r="S77" s="16">
        <v>7</v>
      </c>
      <c r="T77" s="16">
        <v>6</v>
      </c>
      <c r="U77" s="17">
        <v>4</v>
      </c>
      <c r="V77" s="18">
        <v>42</v>
      </c>
    </row>
    <row r="78" ht="14.25">
      <c r="A78" s="19" t="s">
        <v>2</v>
      </c>
      <c r="B78" s="20">
        <v>26</v>
      </c>
      <c r="C78" s="21">
        <v>18</v>
      </c>
      <c r="D78" s="22">
        <v>20</v>
      </c>
      <c r="E78" s="22">
        <v>23</v>
      </c>
      <c r="F78" s="22">
        <v>24</v>
      </c>
      <c r="G78" s="22">
        <v>24</v>
      </c>
      <c r="H78" s="22">
        <v>23</v>
      </c>
      <c r="I78" s="22">
        <v>18</v>
      </c>
      <c r="J78" s="22">
        <v>14</v>
      </c>
      <c r="K78" s="22">
        <v>20</v>
      </c>
      <c r="L78" s="22">
        <v>31</v>
      </c>
      <c r="M78" s="22">
        <v>13</v>
      </c>
      <c r="N78" s="22">
        <v>22</v>
      </c>
      <c r="O78" s="22">
        <v>8</v>
      </c>
      <c r="P78" s="22">
        <v>17</v>
      </c>
      <c r="Q78" s="22">
        <v>23</v>
      </c>
      <c r="R78" s="22">
        <v>25</v>
      </c>
      <c r="S78" s="22">
        <v>28</v>
      </c>
      <c r="T78" s="22">
        <v>22</v>
      </c>
      <c r="U78" s="23">
        <v>19</v>
      </c>
      <c r="V78" s="24">
        <v>418</v>
      </c>
    </row>
    <row r="79" ht="14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ht="14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ht="14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>
      <c r="A82"/>
      <c r="V82"/>
    </row>
    <row r="83" ht="14.25">
      <c r="A83"/>
      <c r="V83"/>
    </row>
    <row r="84" ht="14.25">
      <c r="A84"/>
      <c r="V84"/>
    </row>
    <row r="85" ht="14.25">
      <c r="A85"/>
      <c r="V85"/>
    </row>
    <row r="86" ht="14.25">
      <c r="A86"/>
      <c r="V86"/>
    </row>
    <row r="87" ht="14.25">
      <c r="A87"/>
      <c r="V87"/>
    </row>
    <row r="88" ht="14.25">
      <c r="A88"/>
      <c r="V88"/>
    </row>
    <row r="89" ht="14.25">
      <c r="A89"/>
      <c r="V89"/>
    </row>
    <row r="90" ht="14.25">
      <c r="A90"/>
      <c r="V90"/>
    </row>
    <row r="91" ht="14.25">
      <c r="A91"/>
      <c r="V91"/>
    </row>
    <row r="92" ht="14.25">
      <c r="A92"/>
      <c r="V92"/>
    </row>
    <row r="93" ht="14.25">
      <c r="A93"/>
      <c r="V93"/>
    </row>
    <row r="94" ht="14.25">
      <c r="A94"/>
      <c r="V94"/>
    </row>
    <row r="95" ht="14.25">
      <c r="A95"/>
      <c r="V95"/>
    </row>
    <row r="96" ht="14.25">
      <c r="A96"/>
      <c r="V96"/>
    </row>
    <row r="97" ht="14.25">
      <c r="A97"/>
      <c r="V97"/>
    </row>
    <row r="98" ht="14.25">
      <c r="A98"/>
      <c r="V98"/>
    </row>
    <row r="99" ht="14.25">
      <c r="A99"/>
      <c r="V99"/>
    </row>
  </sheetData>
  <mergeCells count="1">
    <mergeCell ref="A1:V1"/>
  </mergeCells>
  <printOptions headings="0" gridLines="0" horizontalCentered="0" verticalCentered="0"/>
  <pageMargins left="0.51180555555555596" right="0.511805555555555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pt-BR</dc:language>
  <cp:revision>3</cp:revision>
  <dcterms:modified xsi:type="dcterms:W3CDTF">2026-08-24T11:01:03Z</dcterms:modified>
</cp:coreProperties>
</file>